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Monthly Log" sheetId="2" state="visible" r:id="rId4"/>
    <sheet name="Dashboard" sheetId="3" state="visible" r:id="rId5"/>
    <sheet name="Yearly Review" sheetId="4" state="visible" r:id="rId6"/>
    <sheet name="Engine" sheetId="5" state="hidden" r:id="rId7"/>
  </sheets>
  <definedNames>
    <definedName function="false" hidden="false" name="AllocBonds" vbProcedure="false">Setup!$B$14</definedName>
    <definedName function="false" hidden="false" name="AllocCash" vbProcedure="false">Setup!$B$15</definedName>
    <definedName function="false" hidden="false" name="AllocOther" vbProcedure="false">Setup!$B$16</definedName>
    <definedName function="false" hidden="false" name="AllocStocks" vbProcedure="false">Setup!$B$13</definedName>
    <definedName function="false" hidden="false" name="Currency" vbProcedure="false">Setup!$B$4</definedName>
    <definedName function="false" hidden="false" name="GoalDebt" vbProcedure="false">Setup!$B$10</definedName>
    <definedName function="false" hidden="false" name="GoalNetWorth" vbProcedure="false">Setup!$B$8</definedName>
    <definedName function="false" hidden="false" name="GoalSavings" vbProcedure="false">Setup!$B$9</definedName>
    <definedName function="false" hidden="false" name="TrackingStartMonth" vbProcedure="false">Setup!$B$5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<sst xmlns="http://schemas.openxmlformats.org/spreadsheetml/2006/main" count="117" uniqueCount="100">
  <si>
    <t xml:space="preserve">Personal Finance Tracker — Setup</t>
  </si>
  <si>
    <t xml:space="preserve">Your Name</t>
  </si>
  <si>
    <t xml:space="preserve">Currency Symbol</t>
  </si>
  <si>
    <t xml:space="preserve">$</t>
  </si>
  <si>
    <t xml:space="preserve">Tracking Start Month</t>
  </si>
  <si>
    <t xml:space="preserve">Enter the 1st of the month you want to start logging (e.g. this month).</t>
  </si>
  <si>
    <t xml:space="preserve">Yearly Goals</t>
  </si>
  <si>
    <t xml:space="preserve">Net Worth Goal</t>
  </si>
  <si>
    <t xml:space="preserve">Savings Balance Goal</t>
  </si>
  <si>
    <t xml:space="preserve">Debt Payoff Goal (balance to reach)</t>
  </si>
  <si>
    <t xml:space="preserve">Investment Allocation Targets</t>
  </si>
  <si>
    <t xml:space="preserve">Stocks %</t>
  </si>
  <si>
    <t xml:space="preserve">Bonds %</t>
  </si>
  <si>
    <t xml:space="preserve">Cash %</t>
  </si>
  <si>
    <t xml:space="preserve">Other %</t>
  </si>
  <si>
    <t xml:space="preserve">Total</t>
  </si>
  <si>
    <t xml:space="preserve">Should total 100% — turns red if not.</t>
  </si>
  <si>
    <t xml:space="preserve">Month</t>
  </si>
  <si>
    <t xml:space="preserve">Income</t>
  </si>
  <si>
    <t xml:space="preserve">Housing</t>
  </si>
  <si>
    <t xml:space="preserve">Food</t>
  </si>
  <si>
    <t xml:space="preserve">Transport</t>
  </si>
  <si>
    <t xml:space="preserve">Utilities</t>
  </si>
  <si>
    <t xml:space="preserve">Entertainment</t>
  </si>
  <si>
    <t xml:space="preserve">Other</t>
  </si>
  <si>
    <t xml:space="preserve">Subscriptions</t>
  </si>
  <si>
    <t xml:space="preserve">Savings Contribution</t>
  </si>
  <si>
    <t xml:space="preserve">Investment Contribution</t>
  </si>
  <si>
    <t xml:space="preserve">Savings Balance</t>
  </si>
  <si>
    <t xml:space="preserve">Investment Balance</t>
  </si>
  <si>
    <t xml:space="preserve">Emergency Fund Balance</t>
  </si>
  <si>
    <t xml:space="preserve">Debt Balance</t>
  </si>
  <si>
    <t xml:space="preserve">Debt Payment</t>
  </si>
  <si>
    <t xml:space="preserve">Notes</t>
  </si>
  <si>
    <t xml:space="preserve">Status</t>
  </si>
  <si>
    <t xml:space="preserve">Just type your numbers for the current month — Month and Status fill themselves in.</t>
  </si>
  <si>
    <t xml:space="preserve">Personal Finance Dashboard</t>
  </si>
  <si>
    <t xml:space="preserve">Your latest snapshot — recalculates automatically from Monthly Log.</t>
  </si>
  <si>
    <t xml:space="preserve">This Month's Snapshot</t>
  </si>
  <si>
    <t xml:space="preserve">Budget vs. the 50/30/20 Rule</t>
  </si>
  <si>
    <t xml:space="preserve">KPI</t>
  </si>
  <si>
    <t xml:space="preserve">Value</t>
  </si>
  <si>
    <t xml:space="preserve">Category</t>
  </si>
  <si>
    <t xml:space="preserve">Actual</t>
  </si>
  <si>
    <t xml:space="preserve">Target</t>
  </si>
  <si>
    <t xml:space="preserve">vs Target</t>
  </si>
  <si>
    <t xml:space="preserve">Net Worth</t>
  </si>
  <si>
    <t xml:space="preserve">Needs</t>
  </si>
  <si>
    <t xml:space="preserve">Monthly Cash Flow</t>
  </si>
  <si>
    <t xml:space="preserve">Wants</t>
  </si>
  <si>
    <t xml:space="preserve">Savings Rate</t>
  </si>
  <si>
    <t xml:space="preserve">Savings</t>
  </si>
  <si>
    <t xml:space="preserve">Emergency Fund (months)</t>
  </si>
  <si>
    <t xml:space="preserve">FIRE Progress</t>
  </si>
  <si>
    <t xml:space="preserve">Investment Allocation Target</t>
  </si>
  <si>
    <t xml:space="preserve">Debt-to-Income</t>
  </si>
  <si>
    <t xml:space="preserve">Asset Class</t>
  </si>
  <si>
    <t xml:space="preserve">Target %</t>
  </si>
  <si>
    <t xml:space="preserve">Financial Health Score</t>
  </si>
  <si>
    <t xml:space="preserve">Stocks</t>
  </si>
  <si>
    <t xml:space="preserve">Bonds</t>
  </si>
  <si>
    <t xml:space="preserve">Yearly Goals Progress</t>
  </si>
  <si>
    <t xml:space="preserve">Cash</t>
  </si>
  <si>
    <t xml:space="preserve">Goal</t>
  </si>
  <si>
    <t xml:space="preserve">Progress</t>
  </si>
  <si>
    <t xml:space="preserve">Debt Payoff</t>
  </si>
  <si>
    <t xml:space="preserve">This tracker is for personal organization and educational purposes. It is not licensed financial, investment, or tax advice. For real decisions, consult a qualified financial advisor.</t>
  </si>
  <si>
    <t xml:space="preserve">Yearly Review</t>
  </si>
  <si>
    <t xml:space="preserve">Comparing your latest logged month to 12 months earlier.</t>
  </si>
  <si>
    <t xml:space="preserve">YearAgoRowOffset</t>
  </si>
  <si>
    <t xml:space="preserve">Headline Numbers</t>
  </si>
  <si>
    <t xml:space="preserve">Metric</t>
  </si>
  <si>
    <t xml:space="preserve">12 Months Ago</t>
  </si>
  <si>
    <t xml:space="preserve">Latest</t>
  </si>
  <si>
    <t xml:space="preserve">Change</t>
  </si>
  <si>
    <t xml:space="preserve">Spending by Category</t>
  </si>
  <si>
    <t xml:space="preserve">TotalExpenses</t>
  </si>
  <si>
    <t xml:space="preserve">TotalOutgoings</t>
  </si>
  <si>
    <t xml:space="preserve">CashFlow</t>
  </si>
  <si>
    <t xml:space="preserve">NetWorth</t>
  </si>
  <si>
    <t xml:space="preserve">SavingsRate</t>
  </si>
  <si>
    <t xml:space="preserve">EFMonths</t>
  </si>
  <si>
    <t xml:space="preserve">DTI</t>
  </si>
  <si>
    <t xml:space="preserve">HealthScore</t>
  </si>
  <si>
    <t xml:space="preserve">FireNumber</t>
  </si>
  <si>
    <t xml:space="preserve">FireProgress</t>
  </si>
  <si>
    <t xml:space="preserve">NeedsAmt</t>
  </si>
  <si>
    <t xml:space="preserve">WantsAmt</t>
  </si>
  <si>
    <t xml:space="preserve">SavingsAllocAmt</t>
  </si>
  <si>
    <t xml:space="preserve">NeedsPct</t>
  </si>
  <si>
    <t xml:space="preserve">WantsPct</t>
  </si>
  <si>
    <t xml:space="preserve">SavingsPct</t>
  </si>
  <si>
    <t xml:space="preserve">ChartNetWorth</t>
  </si>
  <si>
    <t xml:space="preserve">ChartSavingsRate</t>
  </si>
  <si>
    <t xml:space="preserve">ChartCashFlow</t>
  </si>
  <si>
    <t xml:space="preserve">ChartFireProgress</t>
  </si>
  <si>
    <t xml:space="preserve">ChartHealthScore</t>
  </si>
  <si>
    <t xml:space="preserve">LatestRowOffset</t>
  </si>
  <si>
    <t xml:space="preserve">LatestMonthDate</t>
  </si>
  <si>
    <t xml:space="preserve">FirstLoggedDebt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</si>
</sst>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 yyyy"/>
    <numFmt numFmtId="166" formatCode="\$#,##0;&quot;($&quot;#,##0\);\-"/>
    <numFmt numFmtId="167" formatCode="0%;\(0%\);\-"/>
    <numFmt numFmtId="168" formatCode="0.0%;\(0.0%\);\-"/>
    <numFmt numFmtId="169" formatCode="\+0.0%;\-0.0%;\-"/>
    <numFmt numFmtId="170" formatCode="0.0;\(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6A6285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sz val="8"/>
      <color rgb="FF9A93B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440"/>
        <bgColor rgb="FF333300"/>
      </patternFill>
    </fill>
    <fill>
      <patternFill patternType="solid">
        <fgColor rgb="FFF7F7FB"/>
        <bgColor rgb="FFF4F0FF"/>
      </patternFill>
    </fill>
    <fill>
      <patternFill patternType="solid">
        <fgColor rgb="FF4A3F6B"/>
        <bgColor rgb="FF2B2440"/>
      </patternFill>
    </fill>
    <fill>
      <patternFill patternType="solid">
        <fgColor rgb="FFF4F0FF"/>
        <bgColor rgb="FFF7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CCCC"/>
        </patternFill>
      </fill>
    </dxf>
    <dxf>
      <font>
        <b val="1"/>
        <color rgb="FF1E8449"/>
      </font>
    </dxf>
    <dxf>
      <fill>
        <patternFill>
          <bgColor rgb="FFFFF3D6"/>
        </patternFill>
      </fill>
    </dxf>
    <dxf>
      <fill>
        <patternFill>
          <bgColor rgb="FFFFD9D9"/>
        </patternFill>
      </fill>
    </dxf>
    <dxf>
      <fill>
        <patternFill>
          <bgColor rgb="FFD9F7E6"/>
        </patternFill>
      </fill>
    </dxf>
    <dxf>
      <font>
        <b val="1"/>
        <color rgb="FFCC0000"/>
      </font>
    </dxf>
    <dxf>
      <font>
        <color rgb="FFCC0000"/>
      </font>
    </dxf>
    <dxf>
      <font>
        <color rgb="FF1E8449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78787"/>
      <rgbColor rgb="FF993366"/>
      <rgbColor rgb="FFFFF3D6"/>
      <rgbColor rgb="FFD9F7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B"/>
      <rgbColor rgb="FFF4F0FF"/>
      <rgbColor rgb="FFFFD9D9"/>
      <rgbColor rgb="FF8EFFC9"/>
      <rgbColor rgb="FFFF8FD8"/>
      <rgbColor rgb="FFCC99FF"/>
      <rgbColor rgb="FFFFCCCC"/>
      <rgbColor rgb="FF4A7EBB"/>
      <rgbColor rgb="FF33CCCC"/>
      <rgbColor rgb="FF99CC00"/>
      <rgbColor rgb="FFFFCC00"/>
      <rgbColor rgb="FFFF9900"/>
      <rgbColor rgb="FFFF6600"/>
      <rgbColor rgb="FF6A6285"/>
      <rgbColor rgb="FF9A93B5"/>
      <rgbColor rgb="FF003366"/>
      <rgbColor rgb="FF1E8449"/>
      <rgbColor rgb="FF003300"/>
      <rgbColor rgb="FF333300"/>
      <rgbColor rgb="FF993300"/>
      <rgbColor rgb="FF993366"/>
      <rgbColor rgb="FF4A3F6B"/>
      <rgbColor rgb="FF2B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Engine!Q1</c:f>
              <c:strCache>
                <c:ptCount val="1"/>
                <c:pt idx="0">
                  <c:v>ChartNetWorth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Log'!$A$2:$A$61</c:f>
              <c:strCache>
                <c:ptCount val="6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  <c:pt idx="24">
                  <c:v>Jan 2028</c:v>
                </c:pt>
                <c:pt idx="25">
                  <c:v>Feb 2028</c:v>
                </c:pt>
                <c:pt idx="26">
                  <c:v>Mar 2028</c:v>
                </c:pt>
                <c:pt idx="27">
                  <c:v>Apr 2028</c:v>
                </c:pt>
                <c:pt idx="28">
                  <c:v>May 2028</c:v>
                </c:pt>
                <c:pt idx="29">
                  <c:v>Jun 2028</c:v>
                </c:pt>
                <c:pt idx="30">
                  <c:v>Jul 2028</c:v>
                </c:pt>
                <c:pt idx="31">
                  <c:v>Aug 2028</c:v>
                </c:pt>
                <c:pt idx="32">
                  <c:v>Sep 2028</c:v>
                </c:pt>
                <c:pt idx="33">
                  <c:v>Oct 2028</c:v>
                </c:pt>
                <c:pt idx="34">
                  <c:v>Nov 2028</c:v>
                </c:pt>
                <c:pt idx="35">
                  <c:v>Dec 2028</c:v>
                </c:pt>
                <c:pt idx="36">
                  <c:v>Jan 2029</c:v>
                </c:pt>
                <c:pt idx="37">
                  <c:v>Feb 2029</c:v>
                </c:pt>
                <c:pt idx="38">
                  <c:v>Mar 2029</c:v>
                </c:pt>
                <c:pt idx="39">
                  <c:v>Apr 2029</c:v>
                </c:pt>
                <c:pt idx="40">
                  <c:v>May 2029</c:v>
                </c:pt>
                <c:pt idx="41">
                  <c:v>Jun 2029</c:v>
                </c:pt>
                <c:pt idx="42">
                  <c:v>Jul 2029</c:v>
                </c:pt>
                <c:pt idx="43">
                  <c:v>Aug 2029</c:v>
                </c:pt>
                <c:pt idx="44">
                  <c:v>Sep 2029</c:v>
                </c:pt>
                <c:pt idx="45">
                  <c:v>Oct 2029</c:v>
                </c:pt>
                <c:pt idx="46">
                  <c:v>Nov 2029</c:v>
                </c:pt>
                <c:pt idx="47">
                  <c:v>Dec 2029</c:v>
                </c:pt>
                <c:pt idx="48">
                  <c:v>Jan 2030</c:v>
                </c:pt>
                <c:pt idx="49">
                  <c:v>Feb 2030</c:v>
                </c:pt>
                <c:pt idx="50">
                  <c:v>Mar 2030</c:v>
                </c:pt>
                <c:pt idx="51">
                  <c:v>Apr 2030</c:v>
                </c:pt>
                <c:pt idx="52">
                  <c:v>May 2030</c:v>
                </c:pt>
                <c:pt idx="53">
                  <c:v>Jun 2030</c:v>
                </c:pt>
                <c:pt idx="54">
                  <c:v>Jul 2030</c:v>
                </c:pt>
                <c:pt idx="55">
                  <c:v>Aug 2030</c:v>
                </c:pt>
                <c:pt idx="56">
                  <c:v>Sep 2030</c:v>
                </c:pt>
                <c:pt idx="57">
                  <c:v>Oct 2030</c:v>
                </c:pt>
                <c:pt idx="58">
                  <c:v>Nov 2030</c:v>
                </c:pt>
                <c:pt idx="59">
                  <c:v>Dec 2030</c:v>
                </c:pt>
              </c:strCache>
            </c:strRef>
          </c:cat>
          <c:val>
            <c:numRef>
              <c:f>Engine!$Q$2:$Q$61</c:f>
              <c:numCache>
                <c:formatCode>\$#,##0;"($"#,##0\);\-</c:formatCode>
                <c:ptCount val="6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1550964"/>
        <c:axId val="11009607"/>
      </c:lineChart>
      <c:catAx>
        <c:axId val="11550964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09607"/>
        <c:crosses val="autoZero"/>
        <c:auto val="1"/>
        <c:lblAlgn val="ctr"/>
        <c:lblOffset val="100"/>
        <c:noMultiLvlLbl val="0"/>
      </c:catAx>
      <c:valAx>
        <c:axId val="11009607"/>
        <c:scaling>
          <c:orientation val="minMax"/>
        </c:scaling>
        <c:delete val="0"/>
        <c:axPos val="l"/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550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Savings Rate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Engine!R1</c:f>
              <c:strCache>
                <c:ptCount val="1"/>
                <c:pt idx="0">
                  <c:v>ChartSavingsRate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Log'!$A$2:$A$61</c:f>
              <c:strCache>
                <c:ptCount val="6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  <c:pt idx="24">
                  <c:v>Jan 2028</c:v>
                </c:pt>
                <c:pt idx="25">
                  <c:v>Feb 2028</c:v>
                </c:pt>
                <c:pt idx="26">
                  <c:v>Mar 2028</c:v>
                </c:pt>
                <c:pt idx="27">
                  <c:v>Apr 2028</c:v>
                </c:pt>
                <c:pt idx="28">
                  <c:v>May 2028</c:v>
                </c:pt>
                <c:pt idx="29">
                  <c:v>Jun 2028</c:v>
                </c:pt>
                <c:pt idx="30">
                  <c:v>Jul 2028</c:v>
                </c:pt>
                <c:pt idx="31">
                  <c:v>Aug 2028</c:v>
                </c:pt>
                <c:pt idx="32">
                  <c:v>Sep 2028</c:v>
                </c:pt>
                <c:pt idx="33">
                  <c:v>Oct 2028</c:v>
                </c:pt>
                <c:pt idx="34">
                  <c:v>Nov 2028</c:v>
                </c:pt>
                <c:pt idx="35">
                  <c:v>Dec 2028</c:v>
                </c:pt>
                <c:pt idx="36">
                  <c:v>Jan 2029</c:v>
                </c:pt>
                <c:pt idx="37">
                  <c:v>Feb 2029</c:v>
                </c:pt>
                <c:pt idx="38">
                  <c:v>Mar 2029</c:v>
                </c:pt>
                <c:pt idx="39">
                  <c:v>Apr 2029</c:v>
                </c:pt>
                <c:pt idx="40">
                  <c:v>May 2029</c:v>
                </c:pt>
                <c:pt idx="41">
                  <c:v>Jun 2029</c:v>
                </c:pt>
                <c:pt idx="42">
                  <c:v>Jul 2029</c:v>
                </c:pt>
                <c:pt idx="43">
                  <c:v>Aug 2029</c:v>
                </c:pt>
                <c:pt idx="44">
                  <c:v>Sep 2029</c:v>
                </c:pt>
                <c:pt idx="45">
                  <c:v>Oct 2029</c:v>
                </c:pt>
                <c:pt idx="46">
                  <c:v>Nov 2029</c:v>
                </c:pt>
                <c:pt idx="47">
                  <c:v>Dec 2029</c:v>
                </c:pt>
                <c:pt idx="48">
                  <c:v>Jan 2030</c:v>
                </c:pt>
                <c:pt idx="49">
                  <c:v>Feb 2030</c:v>
                </c:pt>
                <c:pt idx="50">
                  <c:v>Mar 2030</c:v>
                </c:pt>
                <c:pt idx="51">
                  <c:v>Apr 2030</c:v>
                </c:pt>
                <c:pt idx="52">
                  <c:v>May 2030</c:v>
                </c:pt>
                <c:pt idx="53">
                  <c:v>Jun 2030</c:v>
                </c:pt>
                <c:pt idx="54">
                  <c:v>Jul 2030</c:v>
                </c:pt>
                <c:pt idx="55">
                  <c:v>Aug 2030</c:v>
                </c:pt>
                <c:pt idx="56">
                  <c:v>Sep 2030</c:v>
                </c:pt>
                <c:pt idx="57">
                  <c:v>Oct 2030</c:v>
                </c:pt>
                <c:pt idx="58">
                  <c:v>Nov 2030</c:v>
                </c:pt>
                <c:pt idx="59">
                  <c:v>Dec 2030</c:v>
                </c:pt>
              </c:strCache>
            </c:strRef>
          </c:cat>
          <c:val>
            <c:numRef>
              <c:f>Engine!$R$2:$R$61</c:f>
              <c:numCache>
                <c:formatCode>0.0%;\(0.0%\);\-</c:formatCode>
                <c:ptCount val="6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573620"/>
        <c:axId val="3370284"/>
      </c:lineChart>
      <c:catAx>
        <c:axId val="857362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0284"/>
        <c:crosses val="autoZero"/>
        <c:auto val="1"/>
        <c:lblAlgn val="ctr"/>
        <c:lblOffset val="100"/>
        <c:noMultiLvlLbl val="0"/>
      </c:catAx>
      <c:valAx>
        <c:axId val="3370284"/>
        <c:scaling>
          <c:orientation val="minMax"/>
        </c:scaling>
        <c:delete val="0"/>
        <c:axPos val="l"/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36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Cash Flow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Engine!S1</c:f>
              <c:strCache>
                <c:ptCount val="1"/>
                <c:pt idx="0">
                  <c:v>ChartCashFlow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Log'!$A$2:$A$61</c:f>
              <c:strCache>
                <c:ptCount val="6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  <c:pt idx="24">
                  <c:v>Jan 2028</c:v>
                </c:pt>
                <c:pt idx="25">
                  <c:v>Feb 2028</c:v>
                </c:pt>
                <c:pt idx="26">
                  <c:v>Mar 2028</c:v>
                </c:pt>
                <c:pt idx="27">
                  <c:v>Apr 2028</c:v>
                </c:pt>
                <c:pt idx="28">
                  <c:v>May 2028</c:v>
                </c:pt>
                <c:pt idx="29">
                  <c:v>Jun 2028</c:v>
                </c:pt>
                <c:pt idx="30">
                  <c:v>Jul 2028</c:v>
                </c:pt>
                <c:pt idx="31">
                  <c:v>Aug 2028</c:v>
                </c:pt>
                <c:pt idx="32">
                  <c:v>Sep 2028</c:v>
                </c:pt>
                <c:pt idx="33">
                  <c:v>Oct 2028</c:v>
                </c:pt>
                <c:pt idx="34">
                  <c:v>Nov 2028</c:v>
                </c:pt>
                <c:pt idx="35">
                  <c:v>Dec 2028</c:v>
                </c:pt>
                <c:pt idx="36">
                  <c:v>Jan 2029</c:v>
                </c:pt>
                <c:pt idx="37">
                  <c:v>Feb 2029</c:v>
                </c:pt>
                <c:pt idx="38">
                  <c:v>Mar 2029</c:v>
                </c:pt>
                <c:pt idx="39">
                  <c:v>Apr 2029</c:v>
                </c:pt>
                <c:pt idx="40">
                  <c:v>May 2029</c:v>
                </c:pt>
                <c:pt idx="41">
                  <c:v>Jun 2029</c:v>
                </c:pt>
                <c:pt idx="42">
                  <c:v>Jul 2029</c:v>
                </c:pt>
                <c:pt idx="43">
                  <c:v>Aug 2029</c:v>
                </c:pt>
                <c:pt idx="44">
                  <c:v>Sep 2029</c:v>
                </c:pt>
                <c:pt idx="45">
                  <c:v>Oct 2029</c:v>
                </c:pt>
                <c:pt idx="46">
                  <c:v>Nov 2029</c:v>
                </c:pt>
                <c:pt idx="47">
                  <c:v>Dec 2029</c:v>
                </c:pt>
                <c:pt idx="48">
                  <c:v>Jan 2030</c:v>
                </c:pt>
                <c:pt idx="49">
                  <c:v>Feb 2030</c:v>
                </c:pt>
                <c:pt idx="50">
                  <c:v>Mar 2030</c:v>
                </c:pt>
                <c:pt idx="51">
                  <c:v>Apr 2030</c:v>
                </c:pt>
                <c:pt idx="52">
                  <c:v>May 2030</c:v>
                </c:pt>
                <c:pt idx="53">
                  <c:v>Jun 2030</c:v>
                </c:pt>
                <c:pt idx="54">
                  <c:v>Jul 2030</c:v>
                </c:pt>
                <c:pt idx="55">
                  <c:v>Aug 2030</c:v>
                </c:pt>
                <c:pt idx="56">
                  <c:v>Sep 2030</c:v>
                </c:pt>
                <c:pt idx="57">
                  <c:v>Oct 2030</c:v>
                </c:pt>
                <c:pt idx="58">
                  <c:v>Nov 2030</c:v>
                </c:pt>
                <c:pt idx="59">
                  <c:v>Dec 2030</c:v>
                </c:pt>
              </c:strCache>
            </c:strRef>
          </c:cat>
          <c:val>
            <c:numRef>
              <c:f>Engine!$S$2:$S$61</c:f>
              <c:numCache>
                <c:formatCode>\$#,##0;"($"#,##0\);\-</c:formatCode>
                <c:ptCount val="6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1371713"/>
        <c:axId val="90507177"/>
      </c:lineChart>
      <c:catAx>
        <c:axId val="31371713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07177"/>
        <c:crosses val="autoZero"/>
        <c:auto val="1"/>
        <c:lblAlgn val="ctr"/>
        <c:lblOffset val="100"/>
        <c:noMultiLvlLbl val="0"/>
      </c:catAx>
      <c:valAx>
        <c:axId val="90507177"/>
        <c:scaling>
          <c:orientation val="minMax"/>
        </c:scaling>
        <c:delete val="0"/>
        <c:axPos val="l"/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717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Financial Health Score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Engine!U1</c:f>
              <c:strCache>
                <c:ptCount val="1"/>
                <c:pt idx="0">
                  <c:v>ChartHealthScore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Log'!$A$2:$A$61</c:f>
              <c:strCache>
                <c:ptCount val="6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  <c:pt idx="24">
                  <c:v>Jan 2028</c:v>
                </c:pt>
                <c:pt idx="25">
                  <c:v>Feb 2028</c:v>
                </c:pt>
                <c:pt idx="26">
                  <c:v>Mar 2028</c:v>
                </c:pt>
                <c:pt idx="27">
                  <c:v>Apr 2028</c:v>
                </c:pt>
                <c:pt idx="28">
                  <c:v>May 2028</c:v>
                </c:pt>
                <c:pt idx="29">
                  <c:v>Jun 2028</c:v>
                </c:pt>
                <c:pt idx="30">
                  <c:v>Jul 2028</c:v>
                </c:pt>
                <c:pt idx="31">
                  <c:v>Aug 2028</c:v>
                </c:pt>
                <c:pt idx="32">
                  <c:v>Sep 2028</c:v>
                </c:pt>
                <c:pt idx="33">
                  <c:v>Oct 2028</c:v>
                </c:pt>
                <c:pt idx="34">
                  <c:v>Nov 2028</c:v>
                </c:pt>
                <c:pt idx="35">
                  <c:v>Dec 2028</c:v>
                </c:pt>
                <c:pt idx="36">
                  <c:v>Jan 2029</c:v>
                </c:pt>
                <c:pt idx="37">
                  <c:v>Feb 2029</c:v>
                </c:pt>
                <c:pt idx="38">
                  <c:v>Mar 2029</c:v>
                </c:pt>
                <c:pt idx="39">
                  <c:v>Apr 2029</c:v>
                </c:pt>
                <c:pt idx="40">
                  <c:v>May 2029</c:v>
                </c:pt>
                <c:pt idx="41">
                  <c:v>Jun 2029</c:v>
                </c:pt>
                <c:pt idx="42">
                  <c:v>Jul 2029</c:v>
                </c:pt>
                <c:pt idx="43">
                  <c:v>Aug 2029</c:v>
                </c:pt>
                <c:pt idx="44">
                  <c:v>Sep 2029</c:v>
                </c:pt>
                <c:pt idx="45">
                  <c:v>Oct 2029</c:v>
                </c:pt>
                <c:pt idx="46">
                  <c:v>Nov 2029</c:v>
                </c:pt>
                <c:pt idx="47">
                  <c:v>Dec 2029</c:v>
                </c:pt>
                <c:pt idx="48">
                  <c:v>Jan 2030</c:v>
                </c:pt>
                <c:pt idx="49">
                  <c:v>Feb 2030</c:v>
                </c:pt>
                <c:pt idx="50">
                  <c:v>Mar 2030</c:v>
                </c:pt>
                <c:pt idx="51">
                  <c:v>Apr 2030</c:v>
                </c:pt>
                <c:pt idx="52">
                  <c:v>May 2030</c:v>
                </c:pt>
                <c:pt idx="53">
                  <c:v>Jun 2030</c:v>
                </c:pt>
                <c:pt idx="54">
                  <c:v>Jul 2030</c:v>
                </c:pt>
                <c:pt idx="55">
                  <c:v>Aug 2030</c:v>
                </c:pt>
                <c:pt idx="56">
                  <c:v>Sep 2030</c:v>
                </c:pt>
                <c:pt idx="57">
                  <c:v>Oct 2030</c:v>
                </c:pt>
                <c:pt idx="58">
                  <c:v>Nov 2030</c:v>
                </c:pt>
                <c:pt idx="59">
                  <c:v>Dec 2030</c:v>
                </c:pt>
              </c:strCache>
            </c:strRef>
          </c:cat>
          <c:val>
            <c:numRef>
              <c:f>Engine!$U$2:$U$61</c:f>
              <c:numCache>
                <c:formatCode>0.0;\(0.0\);\-</c:formatCode>
                <c:ptCount val="6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0341478"/>
        <c:axId val="57801947"/>
      </c:lineChart>
      <c:catAx>
        <c:axId val="4034147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801947"/>
        <c:crosses val="autoZero"/>
        <c:auto val="1"/>
        <c:lblAlgn val="ctr"/>
        <c:lblOffset val="100"/>
        <c:noMultiLvlLbl val="0"/>
      </c:catAx>
      <c:valAx>
        <c:axId val="57801947"/>
        <c:scaling>
          <c:orientation val="minMax"/>
        </c:scaling>
        <c:delete val="0"/>
        <c:axPos val="l"/>
        <c:numFmt formatCode="0.0;\(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3414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5</xdr:col>
      <xdr:colOff>120960</xdr:colOff>
      <xdr:row>53</xdr:row>
      <xdr:rowOff>32760</xdr:rowOff>
    </xdr:to>
    <xdr:graphicFrame>
      <xdr:nvGraphicFramePr>
        <xdr:cNvPr id="1" name="Chart 1"/>
        <xdr:cNvGraphicFramePr/>
      </xdr:nvGraphicFramePr>
      <xdr:xfrm>
        <a:off x="0" y="7753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39</xdr:row>
      <xdr:rowOff>0</xdr:rowOff>
    </xdr:from>
    <xdr:to>
      <xdr:col>9</xdr:col>
      <xdr:colOff>214200</xdr:colOff>
      <xdr:row>53</xdr:row>
      <xdr:rowOff>32760</xdr:rowOff>
    </xdr:to>
    <xdr:graphicFrame>
      <xdr:nvGraphicFramePr>
        <xdr:cNvPr id="2" name="Chart 2"/>
        <xdr:cNvGraphicFramePr/>
      </xdr:nvGraphicFramePr>
      <xdr:xfrm>
        <a:off x="4088160" y="7753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55</xdr:row>
      <xdr:rowOff>0</xdr:rowOff>
    </xdr:from>
    <xdr:to>
      <xdr:col>5</xdr:col>
      <xdr:colOff>120960</xdr:colOff>
      <xdr:row>69</xdr:row>
      <xdr:rowOff>32760</xdr:rowOff>
    </xdr:to>
    <xdr:graphicFrame>
      <xdr:nvGraphicFramePr>
        <xdr:cNvPr id="3" name="Chart 3"/>
        <xdr:cNvGraphicFramePr/>
      </xdr:nvGraphicFramePr>
      <xdr:xfrm>
        <a:off x="0" y="1080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55</xdr:row>
      <xdr:rowOff>0</xdr:rowOff>
    </xdr:from>
    <xdr:to>
      <xdr:col>9</xdr:col>
      <xdr:colOff>214200</xdr:colOff>
      <xdr:row>69</xdr:row>
      <xdr:rowOff>32760</xdr:rowOff>
    </xdr:to>
    <xdr:graphicFrame>
      <xdr:nvGraphicFramePr>
        <xdr:cNvPr id="4" name="Chart 4"/>
        <xdr:cNvGraphicFramePr/>
      </xdr:nvGraphicFramePr>
      <xdr:xfrm>
        <a:off x="4088160" y="10801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D8"/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4" t="n">
        <f aca="false">DATE(2026,1,1)</f>
        <v>46023</v>
      </c>
      <c r="C5" s="5" t="s">
        <v>5</v>
      </c>
    </row>
    <row r="7" customFormat="false" ht="15" hidden="false" customHeight="false" outlineLevel="0" collapsed="false">
      <c r="A7" s="6" t="s">
        <v>6</v>
      </c>
      <c r="B7" s="6"/>
      <c r="C7" s="6"/>
    </row>
    <row r="8" customFormat="false" ht="15" hidden="false" customHeight="false" outlineLevel="0" collapsed="false">
      <c r="A8" s="7" t="s">
        <v>7</v>
      </c>
      <c r="B8" s="8" t="n">
        <v>50000</v>
      </c>
    </row>
    <row r="9" customFormat="false" ht="15" hidden="false" customHeight="false" outlineLevel="0" collapsed="false">
      <c r="A9" s="7" t="s">
        <v>8</v>
      </c>
      <c r="B9" s="8" t="n">
        <v>20000</v>
      </c>
    </row>
    <row r="10" customFormat="false" ht="15" hidden="false" customHeight="false" outlineLevel="0" collapsed="false">
      <c r="A10" s="7" t="s">
        <v>9</v>
      </c>
      <c r="B10" s="8" t="n">
        <v>0</v>
      </c>
    </row>
    <row r="12" customFormat="false" ht="15" hidden="false" customHeight="false" outlineLevel="0" collapsed="false">
      <c r="A12" s="6" t="s">
        <v>10</v>
      </c>
      <c r="B12" s="6"/>
      <c r="C12" s="6"/>
    </row>
    <row r="13" customFormat="false" ht="15" hidden="false" customHeight="false" outlineLevel="0" collapsed="false">
      <c r="A13" s="7" t="s">
        <v>11</v>
      </c>
      <c r="B13" s="9" t="n">
        <v>0.6</v>
      </c>
    </row>
    <row r="14" customFormat="false" ht="15" hidden="false" customHeight="false" outlineLevel="0" collapsed="false">
      <c r="A14" s="7" t="s">
        <v>12</v>
      </c>
      <c r="B14" s="9" t="n">
        <v>0.2</v>
      </c>
    </row>
    <row r="15" customFormat="false" ht="15" hidden="false" customHeight="false" outlineLevel="0" collapsed="false">
      <c r="A15" s="7" t="s">
        <v>13</v>
      </c>
      <c r="B15" s="9" t="n">
        <v>0.1</v>
      </c>
    </row>
    <row r="16" customFormat="false" ht="15" hidden="false" customHeight="false" outlineLevel="0" collapsed="false">
      <c r="A16" s="7" t="s">
        <v>14</v>
      </c>
      <c r="B16" s="9" t="n">
        <v>0.1</v>
      </c>
    </row>
    <row r="17" customFormat="false" ht="15" hidden="false" customHeight="false" outlineLevel="0" collapsed="false">
      <c r="A17" s="2" t="s">
        <v>15</v>
      </c>
      <c r="B17" s="10" t="n">
        <f aca="false">SUM(B13:B16)</f>
        <v>1</v>
      </c>
      <c r="C17" s="5" t="s">
        <v>16</v>
      </c>
    </row>
  </sheetData>
  <mergeCells count="3">
    <mergeCell ref="A1:C1"/>
    <mergeCell ref="A7:C7"/>
    <mergeCell ref="A12:C12"/>
  </mergeCells>
  <conditionalFormatting sqref="B17">
    <cfRule type="cellIs" priority="2" operator="not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FFC9"/>
    <pageSetUpPr fitToPage="false"/>
  </sheetPr>
  <dimension ref="A1:R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0"/>
  </cols>
  <sheetData>
    <row r="1" customFormat="false" ht="31.5" hidden="false" customHeight="true" outlineLevel="0" collapsed="false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  <c r="N1" s="11" t="s">
        <v>30</v>
      </c>
      <c r="O1" s="11" t="s">
        <v>31</v>
      </c>
      <c r="P1" s="11" t="s">
        <v>32</v>
      </c>
      <c r="Q1" s="11" t="s">
        <v>33</v>
      </c>
      <c r="R1" s="11" t="s">
        <v>34</v>
      </c>
    </row>
    <row r="2" customFormat="false" ht="15" hidden="false" customHeight="false" outlineLevel="0" collapsed="false">
      <c r="A2" s="12" t="n">
        <f aca="false">Setup!$B$5</f>
        <v>46023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3"/>
      <c r="R2" s="13" t="str">
        <f aca="false">IF(B2="","—","✓ Logged")</f>
        <v>—</v>
      </c>
    </row>
    <row r="3" customFormat="false" ht="15" hidden="false" customHeight="false" outlineLevel="0" collapsed="false">
      <c r="A3" s="14" t="n">
        <f aca="false">EDATE(A2,1)</f>
        <v>46054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 t="str">
        <f aca="false">IF(B3="","—","✓ Logged")</f>
        <v>—</v>
      </c>
    </row>
    <row r="4" customFormat="false" ht="15" hidden="false" customHeight="false" outlineLevel="0" collapsed="false">
      <c r="A4" s="12" t="n">
        <f aca="false">EDATE(A3,1)</f>
        <v>46082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3"/>
      <c r="R4" s="13" t="str">
        <f aca="false">IF(B4="","—","✓ Logged")</f>
        <v>—</v>
      </c>
    </row>
    <row r="5" customFormat="false" ht="15" hidden="false" customHeight="false" outlineLevel="0" collapsed="false">
      <c r="A5" s="14" t="n">
        <f aca="false">EDATE(A4,1)</f>
        <v>46113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7" t="str">
        <f aca="false">IF(B5="","—","✓ Logged")</f>
        <v>—</v>
      </c>
    </row>
    <row r="6" customFormat="false" ht="15" hidden="false" customHeight="false" outlineLevel="0" collapsed="false">
      <c r="A6" s="12" t="n">
        <f aca="false">EDATE(A5,1)</f>
        <v>46143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3"/>
      <c r="R6" s="13" t="str">
        <f aca="false">IF(B6="","—","✓ Logged")</f>
        <v>—</v>
      </c>
    </row>
    <row r="7" customFormat="false" ht="15" hidden="false" customHeight="false" outlineLevel="0" collapsed="false">
      <c r="A7" s="14" t="n">
        <f aca="false">EDATE(A6,1)</f>
        <v>46174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17" t="str">
        <f aca="false">IF(B7="","—","✓ Logged")</f>
        <v>—</v>
      </c>
    </row>
    <row r="8" customFormat="false" ht="15" hidden="false" customHeight="false" outlineLevel="0" collapsed="false">
      <c r="A8" s="12" t="n">
        <f aca="false">EDATE(A7,1)</f>
        <v>46204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3"/>
      <c r="R8" s="13" t="str">
        <f aca="false">IF(B8="","—","✓ Logged")</f>
        <v>—</v>
      </c>
    </row>
    <row r="9" customFormat="false" ht="15" hidden="false" customHeight="false" outlineLevel="0" collapsed="false">
      <c r="A9" s="14" t="n">
        <f aca="false">EDATE(A8,1)</f>
        <v>46235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  <c r="R9" s="17" t="str">
        <f aca="false">IF(B9="","—","✓ Logged")</f>
        <v>—</v>
      </c>
    </row>
    <row r="10" customFormat="false" ht="15" hidden="false" customHeight="false" outlineLevel="0" collapsed="false">
      <c r="A10" s="12" t="n">
        <f aca="false">EDATE(A9,1)</f>
        <v>46266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3"/>
      <c r="R10" s="13" t="str">
        <f aca="false">IF(B10="","—","✓ Logged")</f>
        <v>—</v>
      </c>
    </row>
    <row r="11" customFormat="false" ht="15" hidden="false" customHeight="false" outlineLevel="0" collapsed="false">
      <c r="A11" s="14" t="n">
        <f aca="false">EDATE(A10,1)</f>
        <v>46296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  <c r="R11" s="17" t="str">
        <f aca="false">IF(B11="","—","✓ Logged")</f>
        <v>—</v>
      </c>
    </row>
    <row r="12" customFormat="false" ht="15" hidden="false" customHeight="false" outlineLevel="0" collapsed="false">
      <c r="A12" s="12" t="n">
        <f aca="false">EDATE(A11,1)</f>
        <v>46327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3"/>
      <c r="R12" s="13" t="str">
        <f aca="false">IF(B12="","—","✓ Logged")</f>
        <v>—</v>
      </c>
    </row>
    <row r="13" customFormat="false" ht="15" hidden="false" customHeight="false" outlineLevel="0" collapsed="false">
      <c r="A13" s="14" t="n">
        <f aca="false">EDATE(A12,1)</f>
        <v>46357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/>
      <c r="R13" s="17" t="str">
        <f aca="false">IF(B13="","—","✓ Logged")</f>
        <v>—</v>
      </c>
    </row>
    <row r="14" customFormat="false" ht="15" hidden="false" customHeight="false" outlineLevel="0" collapsed="false">
      <c r="A14" s="12" t="n">
        <f aca="false">EDATE(A13,1)</f>
        <v>46388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3"/>
      <c r="R14" s="13" t="str">
        <f aca="false">IF(B14="","—","✓ Logged")</f>
        <v>—</v>
      </c>
    </row>
    <row r="15" customFormat="false" ht="15" hidden="false" customHeight="false" outlineLevel="0" collapsed="false">
      <c r="A15" s="14" t="n">
        <f aca="false">EDATE(A14,1)</f>
        <v>46419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 t="str">
        <f aca="false">IF(B15="","—","✓ Logged")</f>
        <v>—</v>
      </c>
    </row>
    <row r="16" customFormat="false" ht="15" hidden="false" customHeight="false" outlineLevel="0" collapsed="false">
      <c r="A16" s="12" t="n">
        <f aca="false">EDATE(A15,1)</f>
        <v>46447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3"/>
      <c r="R16" s="13" t="str">
        <f aca="false">IF(B16="","—","✓ Logged")</f>
        <v>—</v>
      </c>
    </row>
    <row r="17" customFormat="false" ht="15" hidden="false" customHeight="false" outlineLevel="0" collapsed="false">
      <c r="A17" s="14" t="n">
        <f aca="false">EDATE(A16,1)</f>
        <v>46478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  <c r="R17" s="17" t="str">
        <f aca="false">IF(B17="","—","✓ Logged")</f>
        <v>—</v>
      </c>
    </row>
    <row r="18" customFormat="false" ht="15" hidden="false" customHeight="false" outlineLevel="0" collapsed="false">
      <c r="A18" s="12" t="n">
        <f aca="false">EDATE(A17,1)</f>
        <v>46508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3"/>
      <c r="R18" s="13" t="str">
        <f aca="false">IF(B18="","—","✓ Logged")</f>
        <v>—</v>
      </c>
    </row>
    <row r="19" customFormat="false" ht="15" hidden="false" customHeight="false" outlineLevel="0" collapsed="false">
      <c r="A19" s="14" t="n">
        <f aca="false">EDATE(A18,1)</f>
        <v>46539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  <c r="R19" s="17" t="str">
        <f aca="false">IF(B19="","—","✓ Logged")</f>
        <v>—</v>
      </c>
    </row>
    <row r="20" customFormat="false" ht="15" hidden="false" customHeight="false" outlineLevel="0" collapsed="false">
      <c r="A20" s="12" t="n">
        <f aca="false">EDATE(A19,1)</f>
        <v>46569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3"/>
      <c r="R20" s="13" t="str">
        <f aca="false">IF(B20="","—","✓ Logged")</f>
        <v>—</v>
      </c>
    </row>
    <row r="21" customFormat="false" ht="15" hidden="false" customHeight="false" outlineLevel="0" collapsed="false">
      <c r="A21" s="14" t="n">
        <f aca="false">EDATE(A20,1)</f>
        <v>46600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7" t="str">
        <f aca="false">IF(B21="","—","✓ Logged")</f>
        <v>—</v>
      </c>
    </row>
    <row r="22" customFormat="false" ht="15" hidden="false" customHeight="false" outlineLevel="0" collapsed="false">
      <c r="A22" s="12" t="n">
        <f aca="false">EDATE(A21,1)</f>
        <v>46631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3"/>
      <c r="R22" s="13" t="str">
        <f aca="false">IF(B22="","—","✓ Logged")</f>
        <v>—</v>
      </c>
    </row>
    <row r="23" customFormat="false" ht="15" hidden="false" customHeight="false" outlineLevel="0" collapsed="false">
      <c r="A23" s="14" t="n">
        <f aca="false">EDATE(A22,1)</f>
        <v>46661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/>
      <c r="R23" s="17" t="str">
        <f aca="false">IF(B23="","—","✓ Logged")</f>
        <v>—</v>
      </c>
    </row>
    <row r="24" customFormat="false" ht="15" hidden="false" customHeight="false" outlineLevel="0" collapsed="false">
      <c r="A24" s="12" t="n">
        <f aca="false">EDATE(A23,1)</f>
        <v>46692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3"/>
      <c r="R24" s="13" t="str">
        <f aca="false">IF(B24="","—","✓ Logged")</f>
        <v>—</v>
      </c>
    </row>
    <row r="25" customFormat="false" ht="15" hidden="false" customHeight="false" outlineLevel="0" collapsed="false">
      <c r="A25" s="14" t="n">
        <f aca="false">EDATE(A24,1)</f>
        <v>46722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  <c r="R25" s="17" t="str">
        <f aca="false">IF(B25="","—","✓ Logged")</f>
        <v>—</v>
      </c>
    </row>
    <row r="26" customFormat="false" ht="15" hidden="false" customHeight="false" outlineLevel="0" collapsed="false">
      <c r="A26" s="12" t="n">
        <f aca="false">EDATE(A25,1)</f>
        <v>46753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3"/>
      <c r="R26" s="13" t="str">
        <f aca="false">IF(B26="","—","✓ Logged")</f>
        <v>—</v>
      </c>
    </row>
    <row r="27" customFormat="false" ht="15" hidden="false" customHeight="false" outlineLevel="0" collapsed="false">
      <c r="A27" s="14" t="n">
        <f aca="false">EDATE(A26,1)</f>
        <v>46784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 t="str">
        <f aca="false">IF(B27="","—","✓ Logged")</f>
        <v>—</v>
      </c>
    </row>
    <row r="28" customFormat="false" ht="15" hidden="false" customHeight="false" outlineLevel="0" collapsed="false">
      <c r="A28" s="12" t="n">
        <f aca="false">EDATE(A27,1)</f>
        <v>46813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3"/>
      <c r="R28" s="13" t="str">
        <f aca="false">IF(B28="","—","✓ Logged")</f>
        <v>—</v>
      </c>
    </row>
    <row r="29" customFormat="false" ht="15" hidden="false" customHeight="false" outlineLevel="0" collapsed="false">
      <c r="A29" s="14" t="n">
        <f aca="false">EDATE(A28,1)</f>
        <v>46844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6"/>
      <c r="R29" s="17" t="str">
        <f aca="false">IF(B29="","—","✓ Logged")</f>
        <v>—</v>
      </c>
    </row>
    <row r="30" customFormat="false" ht="15" hidden="false" customHeight="false" outlineLevel="0" collapsed="false">
      <c r="A30" s="12" t="n">
        <f aca="false">EDATE(A29,1)</f>
        <v>46874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3"/>
      <c r="R30" s="13" t="str">
        <f aca="false">IF(B30="","—","✓ Logged")</f>
        <v>—</v>
      </c>
    </row>
    <row r="31" customFormat="false" ht="15" hidden="false" customHeight="false" outlineLevel="0" collapsed="false">
      <c r="A31" s="14" t="n">
        <f aca="false">EDATE(A30,1)</f>
        <v>46905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6"/>
      <c r="R31" s="17" t="str">
        <f aca="false">IF(B31="","—","✓ Logged")</f>
        <v>—</v>
      </c>
    </row>
    <row r="32" customFormat="false" ht="15" hidden="false" customHeight="false" outlineLevel="0" collapsed="false">
      <c r="A32" s="12" t="n">
        <f aca="false">EDATE(A31,1)</f>
        <v>46935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3"/>
      <c r="R32" s="13" t="str">
        <f aca="false">IF(B32="","—","✓ Logged")</f>
        <v>—</v>
      </c>
    </row>
    <row r="33" customFormat="false" ht="15" hidden="false" customHeight="false" outlineLevel="0" collapsed="false">
      <c r="A33" s="14" t="n">
        <f aca="false">EDATE(A32,1)</f>
        <v>46966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6"/>
      <c r="R33" s="17" t="str">
        <f aca="false">IF(B33="","—","✓ Logged")</f>
        <v>—</v>
      </c>
    </row>
    <row r="34" customFormat="false" ht="15" hidden="false" customHeight="false" outlineLevel="0" collapsed="false">
      <c r="A34" s="12" t="n">
        <f aca="false">EDATE(A33,1)</f>
        <v>46997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3"/>
      <c r="R34" s="13" t="str">
        <f aca="false">IF(B34="","—","✓ Logged")</f>
        <v>—</v>
      </c>
    </row>
    <row r="35" customFormat="false" ht="15" hidden="false" customHeight="false" outlineLevel="0" collapsed="false">
      <c r="A35" s="14" t="n">
        <f aca="false">EDATE(A34,1)</f>
        <v>47027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/>
      <c r="R35" s="17" t="str">
        <f aca="false">IF(B35="","—","✓ Logged")</f>
        <v>—</v>
      </c>
    </row>
    <row r="36" customFormat="false" ht="15" hidden="false" customHeight="false" outlineLevel="0" collapsed="false">
      <c r="A36" s="12" t="n">
        <f aca="false">EDATE(A35,1)</f>
        <v>47058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3"/>
      <c r="R36" s="13" t="str">
        <f aca="false">IF(B36="","—","✓ Logged")</f>
        <v>—</v>
      </c>
    </row>
    <row r="37" customFormat="false" ht="15" hidden="false" customHeight="false" outlineLevel="0" collapsed="false">
      <c r="A37" s="14" t="n">
        <f aca="false">EDATE(A36,1)</f>
        <v>47088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7" t="str">
        <f aca="false">IF(B37="","—","✓ Logged")</f>
        <v>—</v>
      </c>
    </row>
    <row r="38" customFormat="false" ht="15" hidden="false" customHeight="false" outlineLevel="0" collapsed="false">
      <c r="A38" s="12" t="n">
        <f aca="false">EDATE(A37,1)</f>
        <v>47119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3"/>
      <c r="R38" s="13" t="str">
        <f aca="false">IF(B38="","—","✓ Logged")</f>
        <v>—</v>
      </c>
    </row>
    <row r="39" customFormat="false" ht="15" hidden="false" customHeight="false" outlineLevel="0" collapsed="false">
      <c r="A39" s="14" t="n">
        <f aca="false">EDATE(A38,1)</f>
        <v>47150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 t="str">
        <f aca="false">IF(B39="","—","✓ Logged")</f>
        <v>—</v>
      </c>
    </row>
    <row r="40" customFormat="false" ht="15" hidden="false" customHeight="false" outlineLevel="0" collapsed="false">
      <c r="A40" s="12" t="n">
        <f aca="false">EDATE(A39,1)</f>
        <v>47178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3"/>
      <c r="R40" s="13" t="str">
        <f aca="false">IF(B40="","—","✓ Logged")</f>
        <v>—</v>
      </c>
    </row>
    <row r="41" customFormat="false" ht="15" hidden="false" customHeight="false" outlineLevel="0" collapsed="false">
      <c r="A41" s="14" t="n">
        <f aca="false">EDATE(A40,1)</f>
        <v>47209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6"/>
      <c r="R41" s="17" t="str">
        <f aca="false">IF(B41="","—","✓ Logged")</f>
        <v>—</v>
      </c>
    </row>
    <row r="42" customFormat="false" ht="15" hidden="false" customHeight="false" outlineLevel="0" collapsed="false">
      <c r="A42" s="12" t="n">
        <f aca="false">EDATE(A41,1)</f>
        <v>47239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3"/>
      <c r="R42" s="13" t="str">
        <f aca="false">IF(B42="","—","✓ Logged")</f>
        <v>—</v>
      </c>
    </row>
    <row r="43" customFormat="false" ht="15" hidden="false" customHeight="false" outlineLevel="0" collapsed="false">
      <c r="A43" s="14" t="n">
        <f aca="false">EDATE(A42,1)</f>
        <v>47270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6"/>
      <c r="R43" s="17" t="str">
        <f aca="false">IF(B43="","—","✓ Logged")</f>
        <v>—</v>
      </c>
    </row>
    <row r="44" customFormat="false" ht="15" hidden="false" customHeight="false" outlineLevel="0" collapsed="false">
      <c r="A44" s="12" t="n">
        <f aca="false">EDATE(A43,1)</f>
        <v>47300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3"/>
      <c r="R44" s="13" t="str">
        <f aca="false">IF(B44="","—","✓ Logged")</f>
        <v>—</v>
      </c>
    </row>
    <row r="45" customFormat="false" ht="15" hidden="false" customHeight="false" outlineLevel="0" collapsed="false">
      <c r="A45" s="14" t="n">
        <f aca="false">EDATE(A44,1)</f>
        <v>47331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/>
      <c r="R45" s="17" t="str">
        <f aca="false">IF(B45="","—","✓ Logged")</f>
        <v>—</v>
      </c>
    </row>
    <row r="46" customFormat="false" ht="15" hidden="false" customHeight="false" outlineLevel="0" collapsed="false">
      <c r="A46" s="12" t="n">
        <f aca="false">EDATE(A45,1)</f>
        <v>47362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3"/>
      <c r="R46" s="13" t="str">
        <f aca="false">IF(B46="","—","✓ Logged")</f>
        <v>—</v>
      </c>
    </row>
    <row r="47" customFormat="false" ht="15" hidden="false" customHeight="false" outlineLevel="0" collapsed="false">
      <c r="A47" s="14" t="n">
        <f aca="false">EDATE(A46,1)</f>
        <v>47392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/>
      <c r="R47" s="17" t="str">
        <f aca="false">IF(B47="","—","✓ Logged")</f>
        <v>—</v>
      </c>
    </row>
    <row r="48" customFormat="false" ht="15" hidden="false" customHeight="false" outlineLevel="0" collapsed="false">
      <c r="A48" s="12" t="n">
        <f aca="false">EDATE(A47,1)</f>
        <v>47423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3"/>
      <c r="R48" s="13" t="str">
        <f aca="false">IF(B48="","—","✓ Logged")</f>
        <v>—</v>
      </c>
    </row>
    <row r="49" customFormat="false" ht="15" hidden="false" customHeight="false" outlineLevel="0" collapsed="false">
      <c r="A49" s="14" t="n">
        <f aca="false">EDATE(A48,1)</f>
        <v>47453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/>
      <c r="R49" s="17" t="str">
        <f aca="false">IF(B49="","—","✓ Logged")</f>
        <v>—</v>
      </c>
    </row>
    <row r="50" customFormat="false" ht="15" hidden="false" customHeight="false" outlineLevel="0" collapsed="false">
      <c r="A50" s="12" t="n">
        <f aca="false">EDATE(A49,1)</f>
        <v>47484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3"/>
      <c r="R50" s="13" t="str">
        <f aca="false">IF(B50="","—","✓ Logged")</f>
        <v>—</v>
      </c>
    </row>
    <row r="51" customFormat="false" ht="15" hidden="false" customHeight="false" outlineLevel="0" collapsed="false">
      <c r="A51" s="14" t="n">
        <f aca="false">EDATE(A50,1)</f>
        <v>47515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 t="str">
        <f aca="false">IF(B51="","—","✓ Logged")</f>
        <v>—</v>
      </c>
    </row>
    <row r="52" customFormat="false" ht="15" hidden="false" customHeight="false" outlineLevel="0" collapsed="false">
      <c r="A52" s="12" t="n">
        <f aca="false">EDATE(A51,1)</f>
        <v>47543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3"/>
      <c r="R52" s="13" t="str">
        <f aca="false">IF(B52="","—","✓ Logged")</f>
        <v>—</v>
      </c>
    </row>
    <row r="53" customFormat="false" ht="15" hidden="false" customHeight="false" outlineLevel="0" collapsed="false">
      <c r="A53" s="14" t="n">
        <f aca="false">EDATE(A52,1)</f>
        <v>47574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6"/>
      <c r="R53" s="17" t="str">
        <f aca="false">IF(B53="","—","✓ Logged")</f>
        <v>—</v>
      </c>
    </row>
    <row r="54" customFormat="false" ht="15" hidden="false" customHeight="false" outlineLevel="0" collapsed="false">
      <c r="A54" s="12" t="n">
        <f aca="false">EDATE(A53,1)</f>
        <v>47604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3"/>
      <c r="R54" s="13" t="str">
        <f aca="false">IF(B54="","—","✓ Logged")</f>
        <v>—</v>
      </c>
    </row>
    <row r="55" customFormat="false" ht="15" hidden="false" customHeight="false" outlineLevel="0" collapsed="false">
      <c r="A55" s="14" t="n">
        <f aca="false">EDATE(A54,1)</f>
        <v>47635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6"/>
      <c r="R55" s="17" t="str">
        <f aca="false">IF(B55="","—","✓ Logged")</f>
        <v>—</v>
      </c>
    </row>
    <row r="56" customFormat="false" ht="15" hidden="false" customHeight="false" outlineLevel="0" collapsed="false">
      <c r="A56" s="12" t="n">
        <f aca="false">EDATE(A55,1)</f>
        <v>47665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3"/>
      <c r="R56" s="13" t="str">
        <f aca="false">IF(B56="","—","✓ Logged")</f>
        <v>—</v>
      </c>
    </row>
    <row r="57" customFormat="false" ht="15" hidden="false" customHeight="false" outlineLevel="0" collapsed="false">
      <c r="A57" s="14" t="n">
        <f aca="false">EDATE(A56,1)</f>
        <v>47696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6"/>
      <c r="R57" s="17" t="str">
        <f aca="false">IF(B57="","—","✓ Logged")</f>
        <v>—</v>
      </c>
    </row>
    <row r="58" customFormat="false" ht="15" hidden="false" customHeight="false" outlineLevel="0" collapsed="false">
      <c r="A58" s="12" t="n">
        <f aca="false">EDATE(A57,1)</f>
        <v>47727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3"/>
      <c r="R58" s="13" t="str">
        <f aca="false">IF(B58="","—","✓ Logged")</f>
        <v>—</v>
      </c>
    </row>
    <row r="59" customFormat="false" ht="15" hidden="false" customHeight="false" outlineLevel="0" collapsed="false">
      <c r="A59" s="14" t="n">
        <f aca="false">EDATE(A58,1)</f>
        <v>47757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/>
      <c r="R59" s="17" t="str">
        <f aca="false">IF(B59="","—","✓ Logged")</f>
        <v>—</v>
      </c>
    </row>
    <row r="60" customFormat="false" ht="15" hidden="false" customHeight="false" outlineLevel="0" collapsed="false">
      <c r="A60" s="12" t="n">
        <f aca="false">EDATE(A59,1)</f>
        <v>47788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3"/>
      <c r="R60" s="13" t="str">
        <f aca="false">IF(B60="","—","✓ Logged")</f>
        <v>—</v>
      </c>
    </row>
    <row r="61" customFormat="false" ht="15" hidden="false" customHeight="false" outlineLevel="0" collapsed="false">
      <c r="A61" s="14" t="n">
        <f aca="false">EDATE(A60,1)</f>
        <v>47818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/>
      <c r="R61" s="17" t="str">
        <f aca="false">IF(B61="","—","✓ Logged")</f>
        <v>—</v>
      </c>
    </row>
    <row r="63" customFormat="false" ht="15" hidden="false" customHeight="false" outlineLevel="0" collapsed="false">
      <c r="A63" s="18" t="s">
        <v>35</v>
      </c>
    </row>
  </sheetData>
  <conditionalFormatting sqref="R2:R61">
    <cfRule type="cellIs" priority="2" operator="equal" aboveAverage="0" equalAverage="0" bottom="0" percent="0" rank="0" text="" dxfId="1">
      <formula>"✓ Logged"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D8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8" min="6" style="0" width="16"/>
  </cols>
  <sheetData>
    <row r="1" customFormat="false" ht="33.75" hidden="false" customHeight="true" outlineLevel="0" collapsed="false">
      <c r="A1" s="19" t="s">
        <v>36</v>
      </c>
      <c r="B1" s="19"/>
      <c r="C1" s="19"/>
      <c r="D1" s="19"/>
      <c r="E1" s="19"/>
      <c r="F1" s="19"/>
      <c r="G1" s="19"/>
      <c r="H1" s="19"/>
    </row>
    <row r="2" customFormat="false" ht="15" hidden="false" customHeight="false" outlineLevel="0" collapsed="false">
      <c r="A2" s="20" t="s">
        <v>37</v>
      </c>
      <c r="B2" s="20"/>
      <c r="C2" s="20"/>
      <c r="D2" s="20"/>
      <c r="E2" s="20"/>
      <c r="F2" s="20"/>
      <c r="G2" s="20"/>
      <c r="H2" s="20"/>
    </row>
    <row r="4" customFormat="false" ht="21.75" hidden="false" customHeight="true" outlineLevel="0" collapsed="false">
      <c r="A4" s="21" t="str">
        <f aca="true">IF(Engine!$B$64=0,"Welcome! Log your first month on the Monthly Log tab to get started.",IF(TODAY()-Engine!$B$65&gt;35,"⚠ It's been a while — time to log this month on the Monthly Log tab.","✓ You're up to date for this month."))</f>
        <v>Welcome! Log your first month on the Monthly Log tab to get started.</v>
      </c>
      <c r="B4" s="21"/>
      <c r="C4" s="21"/>
      <c r="D4" s="21"/>
      <c r="E4" s="21"/>
      <c r="F4" s="21"/>
      <c r="G4" s="21"/>
      <c r="H4" s="21"/>
    </row>
    <row r="6" customFormat="false" ht="15" hidden="false" customHeight="false" outlineLevel="0" collapsed="false">
      <c r="A6" s="22" t="s">
        <v>38</v>
      </c>
      <c r="B6" s="22"/>
      <c r="C6" s="22"/>
      <c r="E6" s="22" t="s">
        <v>39</v>
      </c>
      <c r="F6" s="22"/>
      <c r="G6" s="22"/>
      <c r="H6" s="22"/>
    </row>
    <row r="7" customFormat="false" ht="15" hidden="false" customHeight="false" outlineLevel="0" collapsed="false">
      <c r="A7" s="23" t="s">
        <v>40</v>
      </c>
      <c r="B7" s="23" t="s">
        <v>41</v>
      </c>
      <c r="E7" s="23" t="s">
        <v>42</v>
      </c>
      <c r="F7" s="23" t="s">
        <v>43</v>
      </c>
      <c r="G7" s="23" t="s">
        <v>44</v>
      </c>
      <c r="H7" s="23" t="s">
        <v>45</v>
      </c>
    </row>
    <row r="8" customFormat="false" ht="15" hidden="false" customHeight="false" outlineLevel="0" collapsed="false">
      <c r="A8" s="7" t="s">
        <v>46</v>
      </c>
      <c r="B8" s="24" t="str">
        <f aca="false">IF(Engine!$B$64=0,"",INDEX(Engine!$D$2:$D$61,Engine!$B$64))</f>
        <v/>
      </c>
      <c r="E8" s="7" t="s">
        <v>47</v>
      </c>
      <c r="F8" s="25" t="str">
        <f aca="false">IF(Engine!$B$64=0,"",INDEX(Engine!$N$2:$N$61,Engine!$B$64))</f>
        <v/>
      </c>
      <c r="G8" s="26" t="n">
        <v>0.5</v>
      </c>
      <c r="H8" s="27" t="str">
        <f aca="false">IF(F8="","",F8-G8)</f>
        <v/>
      </c>
    </row>
    <row r="9" customFormat="false" ht="15" hidden="false" customHeight="false" outlineLevel="0" collapsed="false">
      <c r="A9" s="28" t="s">
        <v>48</v>
      </c>
      <c r="B9" s="29" t="str">
        <f aca="false">IF(Engine!$B$64=0,"",INDEX(Engine!$C$2:$C$61,Engine!$B$64))</f>
        <v/>
      </c>
      <c r="E9" s="7" t="s">
        <v>49</v>
      </c>
      <c r="F9" s="25" t="str">
        <f aca="false">IF(Engine!$B$64=0,"",INDEX(Engine!$O$2:$O$61,Engine!$B$64))</f>
        <v/>
      </c>
      <c r="G9" s="26" t="n">
        <v>0.3</v>
      </c>
      <c r="H9" s="27" t="str">
        <f aca="false">IF(F9="","",F9-G9)</f>
        <v/>
      </c>
    </row>
    <row r="10" customFormat="false" ht="15" hidden="false" customHeight="false" outlineLevel="0" collapsed="false">
      <c r="A10" s="7" t="s">
        <v>50</v>
      </c>
      <c r="B10" s="25" t="str">
        <f aca="false">IF(Engine!$B$64=0,"",INDEX(Engine!$E$2:$E$61,Engine!$B$64))</f>
        <v/>
      </c>
      <c r="E10" s="7" t="s">
        <v>51</v>
      </c>
      <c r="F10" s="25" t="str">
        <f aca="false">IF(Engine!$B$64=0,"",INDEX(Engine!$P$2:$P$61,Engine!$B$64))</f>
        <v/>
      </c>
      <c r="G10" s="26" t="n">
        <v>0.2</v>
      </c>
      <c r="H10" s="27" t="str">
        <f aca="false">IF(F10="","",F10-G10)</f>
        <v/>
      </c>
    </row>
    <row r="11" customFormat="false" ht="15" hidden="false" customHeight="false" outlineLevel="0" collapsed="false">
      <c r="A11" s="28" t="s">
        <v>52</v>
      </c>
      <c r="B11" s="30" t="str">
        <f aca="false">IF(Engine!$B$64=0,"",INDEX(Engine!$F$2:$F$61,Engine!$B$64))</f>
        <v/>
      </c>
    </row>
    <row r="12" customFormat="false" ht="15" hidden="false" customHeight="false" outlineLevel="0" collapsed="false">
      <c r="A12" s="7" t="s">
        <v>53</v>
      </c>
      <c r="B12" s="25" t="str">
        <f aca="false">IF(Engine!$B$64=0,"",INDEX(Engine!$J$2:$J$61,Engine!$B$64))</f>
        <v/>
      </c>
      <c r="E12" s="22" t="s">
        <v>54</v>
      </c>
      <c r="F12" s="22"/>
      <c r="G12" s="22"/>
      <c r="H12" s="22"/>
    </row>
    <row r="13" customFormat="false" ht="15" hidden="false" customHeight="false" outlineLevel="0" collapsed="false">
      <c r="A13" s="28" t="s">
        <v>55</v>
      </c>
      <c r="B13" s="31" t="str">
        <f aca="false">IF(Engine!$B$64=0,"",INDEX(Engine!$G$2:$G$61,Engine!$B$64))</f>
        <v/>
      </c>
      <c r="E13" s="23" t="s">
        <v>56</v>
      </c>
      <c r="F13" s="23" t="s">
        <v>57</v>
      </c>
    </row>
    <row r="14" customFormat="false" ht="15" hidden="false" customHeight="false" outlineLevel="0" collapsed="false">
      <c r="A14" s="7" t="s">
        <v>58</v>
      </c>
      <c r="B14" s="32" t="str">
        <f aca="false">IF(Engine!$B$64=0,"",INDEX(Engine!$H$2:$H$61,Engine!$B$64))</f>
        <v/>
      </c>
      <c r="E14" s="7" t="s">
        <v>59</v>
      </c>
      <c r="F14" s="33" t="n">
        <f aca="false">Setup!$B$13</f>
        <v>0.6</v>
      </c>
    </row>
    <row r="15" customFormat="false" ht="15" hidden="false" customHeight="false" outlineLevel="0" collapsed="false">
      <c r="E15" s="7" t="s">
        <v>60</v>
      </c>
      <c r="F15" s="33" t="n">
        <f aca="false">Setup!$B$14</f>
        <v>0.2</v>
      </c>
    </row>
    <row r="16" customFormat="false" ht="15" hidden="false" customHeight="false" outlineLevel="0" collapsed="false">
      <c r="A16" s="22" t="s">
        <v>61</v>
      </c>
      <c r="B16" s="22"/>
      <c r="C16" s="22"/>
      <c r="E16" s="7" t="s">
        <v>62</v>
      </c>
      <c r="F16" s="33" t="n">
        <f aca="false">Setup!$B$15</f>
        <v>0.1</v>
      </c>
    </row>
    <row r="17" customFormat="false" ht="15" hidden="false" customHeight="false" outlineLevel="0" collapsed="false">
      <c r="A17" s="23" t="s">
        <v>63</v>
      </c>
      <c r="B17" s="23" t="s">
        <v>64</v>
      </c>
      <c r="E17" s="7" t="s">
        <v>24</v>
      </c>
      <c r="F17" s="33" t="n">
        <f aca="false">Setup!$B$16</f>
        <v>0.1</v>
      </c>
    </row>
    <row r="18" customFormat="false" ht="15" hidden="false" customHeight="false" outlineLevel="0" collapsed="false">
      <c r="A18" s="7" t="s">
        <v>46</v>
      </c>
      <c r="B18" s="34" t="str">
        <f aca="false">IF(OR(IF(Engine!$B$64=0,"",INDEX(Engine!$D$2:$D$61,Engine!$B$64))="",Setup!$B$8=0),"",MAX(0,MIN(IF(Engine!$B$64=0,"",INDEX(Engine!$D$2:$D$61,Engine!$B$64))/Setup!$B$8,1)))</f>
        <v/>
      </c>
    </row>
    <row r="19" customFormat="false" ht="15" hidden="false" customHeight="false" outlineLevel="0" collapsed="false">
      <c r="A19" s="7" t="s">
        <v>28</v>
      </c>
      <c r="B19" s="34" t="str">
        <f aca="false">IF(OR(IF(Engine!$B$64=0,"",INDEX('Monthly Log'!$L$2:$L$61,Engine!$B$64))="",Setup!$B$9=0),"",MAX(0,MIN(IF(Engine!$B$64=0,"",INDEX('Monthly Log'!$L$2:$L$61,Engine!$B$64))/Setup!$B$9,1)))</f>
        <v/>
      </c>
    </row>
    <row r="20" customFormat="false" ht="15" hidden="false" customHeight="false" outlineLevel="0" collapsed="false">
      <c r="A20" s="7" t="s">
        <v>65</v>
      </c>
      <c r="B20" s="34" t="str">
        <f aca="false">IF(IF(Engine!$B$64=0,"",INDEX('Monthly Log'!$O$2:$O$61,Engine!$B$64))="","",IF(IF(Engine!$B$64=0,"",INDEX('Monthly Log'!$O$2:$O$61,Engine!$B$64))&lt;=Setup!$B$10,1,MAX(0,MIN((Engine!$B$66-IF(Engine!$B$64=0,"",INDEX('Monthly Log'!$O$2:$O$61,Engine!$B$64)))/MAX(Engine!$B$66-Setup!$B$10,1),1))))</f>
        <v/>
      </c>
    </row>
    <row r="23" customFormat="false" ht="15" hidden="false" customHeight="true" outlineLevel="0" collapsed="false">
      <c r="A23" s="35" t="s">
        <v>66</v>
      </c>
      <c r="B23" s="35"/>
      <c r="C23" s="35"/>
      <c r="D23" s="35"/>
      <c r="E23" s="35"/>
      <c r="F23" s="35"/>
      <c r="G23" s="35"/>
      <c r="H23" s="35"/>
    </row>
    <row r="24" customFormat="false" ht="15" hidden="false" customHeight="false" outlineLevel="0" collapsed="false">
      <c r="A24" s="35"/>
      <c r="B24" s="35"/>
      <c r="C24" s="35"/>
      <c r="D24" s="35"/>
      <c r="E24" s="35"/>
      <c r="F24" s="35"/>
      <c r="G24" s="35"/>
      <c r="H24" s="35"/>
    </row>
    <row r="25" customFormat="false" ht="15" hidden="false" customHeight="false" outlineLevel="0" collapsed="false">
      <c r="A25" s="35"/>
      <c r="B25" s="35"/>
      <c r="C25" s="35"/>
      <c r="D25" s="35"/>
      <c r="E25" s="35"/>
      <c r="F25" s="35"/>
      <c r="G25" s="35"/>
      <c r="H25" s="35"/>
    </row>
  </sheetData>
  <mergeCells count="8">
    <mergeCell ref="A1:H1"/>
    <mergeCell ref="A2:H2"/>
    <mergeCell ref="A4:H4"/>
    <mergeCell ref="A6:C6"/>
    <mergeCell ref="E6:H6"/>
    <mergeCell ref="E12:H12"/>
    <mergeCell ref="A16:C16"/>
    <mergeCell ref="A23:H25"/>
  </mergeCells>
  <conditionalFormatting sqref="A4:H4">
    <cfRule type="expression" priority="2" aboveAverage="0" equalAverage="0" bottom="0" percent="0" rank="0" text="" dxfId="2">
      <formula>Engine!$B$64=0</formula>
    </cfRule>
    <cfRule type="expression" priority="3" aboveAverage="0" equalAverage="0" bottom="0" percent="0" rank="0" text="" dxfId="3">
      <formula>AND(Engine!$B$64&gt;0,TODAY()-Engine!$B$65&gt;35)</formula>
    </cfRule>
    <cfRule type="expression" priority="4" aboveAverage="0" equalAverage="0" bottom="0" percent="0" rank="0" text="" dxfId="4">
      <formula>AND(Engine!$B$64&gt;0,TODAY()-Engine!$B$65&lt;=35)</formula>
    </cfRule>
  </conditionalFormatting>
  <conditionalFormatting sqref="B14">
    <cfRule type="colorScale" priority="5">
      <colorScale>
        <cfvo type="min" val="0"/>
        <cfvo type="percentile" val="50"/>
        <cfvo type="max" val="0"/>
        <color rgb="FFFF8F8F"/>
        <color rgb="FFFFD98F"/>
        <color rgb="FF8EFFC9"/>
      </colorScale>
    </cfRule>
  </conditionalFormatting>
  <conditionalFormatting sqref="B9">
    <cfRule type="expression" priority="6" aboveAverage="0" equalAverage="0" bottom="0" percent="0" rank="0" text="" dxfId="5">
      <formula>AND(B9&lt;&gt;"",B9&lt;0)</formula>
    </cfRule>
  </conditionalFormatting>
  <conditionalFormatting sqref="B8">
    <cfRule type="expression" priority="7" aboveAverage="0" equalAverage="0" bottom="0" percent="0" rank="0" text="" dxfId="5">
      <formula>AND(B8&lt;&gt;"",B8&lt;0)</formula>
    </cfRule>
  </conditionalFormatting>
  <conditionalFormatting sqref="H8:H10">
    <cfRule type="cellIs" priority="8" operator="greaterThan" aboveAverage="0" equalAverage="0" bottom="0" percent="0" rank="0" text="" dxfId="5">
      <formula>0.05</formula>
    </cfRule>
  </conditionalFormatting>
  <conditionalFormatting sqref="F8:F10">
    <cfRule type="dataBar" priority="9">
      <dataBar showValue="1" minLength="10" maxLength="90">
        <cfvo type="num" val="0"/>
        <cfvo type="num" val="1"/>
        <color rgb="FF8ECBFF"/>
      </dataBar>
      <extLst>
        <ext xmlns:x14="http://schemas.microsoft.com/office/spreadsheetml/2009/9/main" uri="{B025F937-C7B1-47D3-B67F-A62EFF666E3E}">
          <x14:id>{7417134D-D06B-4C44-9E54-24F5C4CA5A77}</x14:id>
        </ext>
      </extLst>
    </cfRule>
  </conditionalFormatting>
  <conditionalFormatting sqref="F14:F17">
    <cfRule type="dataBar" priority="10">
      <dataBar showValue="1" minLength="10" maxLength="90">
        <cfvo type="num" val="0"/>
        <cfvo type="num" val="1"/>
        <color rgb="FF8EFFC9"/>
      </dataBar>
      <extLst>
        <ext xmlns:x14="http://schemas.microsoft.com/office/spreadsheetml/2009/9/main" uri="{B025F937-C7B1-47D3-B67F-A62EFF666E3E}">
          <x14:id>{6419F950-2643-4381-ACA7-EE91A379FF70}</x14:id>
        </ext>
      </extLst>
    </cfRule>
  </conditionalFormatting>
  <conditionalFormatting sqref="B18:B20">
    <cfRule type="dataBar" priority="11">
      <dataBar showValue="1" minLength="10" maxLength="90">
        <cfvo type="num" val="0"/>
        <cfvo type="num" val="1"/>
        <color rgb="FFFF8FD8"/>
      </dataBar>
      <extLst>
        <ext xmlns:x14="http://schemas.microsoft.com/office/spreadsheetml/2009/9/main" uri="{B025F937-C7B1-47D3-B67F-A62EFF666E3E}">
          <x14:id>{F6868789-566C-4D20-9973-E8A6AD4F48F0}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17134D-D06B-4C44-9E54-24F5C4CA5A7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ECBFF"/>
              <x14:axisColor rgb="FF000000"/>
            </x14:dataBar>
          </x14:cfRule>
          <xm:sqref>F8:F10</xm:sqref>
        </x14:conditionalFormatting>
        <x14:conditionalFormatting xmlns:xm="http://schemas.microsoft.com/office/excel/2006/main">
          <x14:cfRule type="dataBar" id="{6419F950-2643-4381-ACA7-EE91A379FF7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EFFC9"/>
              <x14:axisColor rgb="FF000000"/>
            </x14:dataBar>
          </x14:cfRule>
          <xm:sqref>F14:F17</xm:sqref>
        </x14:conditionalFormatting>
        <x14:conditionalFormatting xmlns:xm="http://schemas.microsoft.com/office/excel/2006/main">
          <x14:cfRule type="dataBar" id="{F6868789-566C-4D20-9973-E8A6AD4F48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F8FD8"/>
              <x14:axisColor rgb="FF000000"/>
            </x14:dataBar>
          </x14:cfRule>
          <xm:sqref>B18:B20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D8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36" t="s">
        <v>67</v>
      </c>
      <c r="B1" s="36"/>
      <c r="C1" s="36"/>
      <c r="D1" s="36"/>
      <c r="E1" s="36"/>
    </row>
    <row r="2" customFormat="false" ht="15" hidden="false" customHeight="false" outlineLevel="0" collapsed="false">
      <c r="A2" s="20" t="s">
        <v>68</v>
      </c>
      <c r="B2" s="20"/>
      <c r="C2" s="20"/>
      <c r="D2" s="20"/>
      <c r="E2" s="20"/>
    </row>
    <row r="4" customFormat="false" ht="15" hidden="true" customHeight="false" outlineLevel="0" collapsed="false">
      <c r="A4" s="0" t="s">
        <v>69</v>
      </c>
      <c r="B4" s="37" t="n">
        <f aca="false">MAX(Engine!$B$64-11,1)</f>
        <v>1</v>
      </c>
    </row>
    <row r="6" customFormat="false" ht="15" hidden="false" customHeight="false" outlineLevel="0" collapsed="false">
      <c r="A6" s="22" t="s">
        <v>70</v>
      </c>
      <c r="B6" s="22"/>
      <c r="C6" s="22"/>
      <c r="D6" s="22"/>
      <c r="E6" s="22"/>
    </row>
    <row r="7" customFormat="false" ht="15" hidden="false" customHeight="false" outlineLevel="0" collapsed="false">
      <c r="A7" s="23" t="s">
        <v>71</v>
      </c>
      <c r="B7" s="23" t="s">
        <v>72</v>
      </c>
      <c r="C7" s="23" t="s">
        <v>73</v>
      </c>
      <c r="D7" s="23" t="s">
        <v>74</v>
      </c>
    </row>
    <row r="8" customFormat="false" ht="15" hidden="false" customHeight="false" outlineLevel="0" collapsed="false">
      <c r="A8" s="7" t="s">
        <v>46</v>
      </c>
      <c r="B8" s="38" t="str">
        <f aca="false">IF(Engine!$B$64=0,"",INDEX(Engine!$D$2:$D$61,$B$4))</f>
        <v/>
      </c>
      <c r="C8" s="38" t="str">
        <f aca="false">IF(Engine!$B$64=0,"",INDEX(Engine!$D$2:$D$61,Engine!$B$64))</f>
        <v/>
      </c>
      <c r="D8" s="39" t="str">
        <f aca="false">IF(OR(B8="",C8=""),"",C8-B8)</f>
        <v/>
      </c>
    </row>
    <row r="9" customFormat="false" ht="15" hidden="false" customHeight="false" outlineLevel="0" collapsed="false">
      <c r="A9" s="7" t="s">
        <v>50</v>
      </c>
      <c r="B9" s="40" t="str">
        <f aca="false">IF(Engine!$B$64=0,"",INDEX(Engine!$E$2:$E$61,$B$4))</f>
        <v/>
      </c>
      <c r="C9" s="40" t="str">
        <f aca="false">IF(Engine!$B$64=0,"",INDEX(Engine!$E$2:$E$61,Engine!$B$64))</f>
        <v/>
      </c>
      <c r="D9" s="41" t="str">
        <f aca="false">IF(OR(B9="",C9=""),"",C9-B9)</f>
        <v/>
      </c>
    </row>
    <row r="11" customFormat="false" ht="15" hidden="false" customHeight="false" outlineLevel="0" collapsed="false">
      <c r="A11" s="22" t="s">
        <v>75</v>
      </c>
      <c r="B11" s="22"/>
      <c r="C11" s="22"/>
      <c r="D11" s="22"/>
    </row>
    <row r="12" customFormat="false" ht="15" hidden="false" customHeight="false" outlineLevel="0" collapsed="false">
      <c r="A12" s="23" t="s">
        <v>42</v>
      </c>
      <c r="B12" s="23" t="s">
        <v>72</v>
      </c>
      <c r="C12" s="23" t="s">
        <v>73</v>
      </c>
      <c r="D12" s="23" t="s">
        <v>74</v>
      </c>
    </row>
    <row r="13" customFormat="false" ht="15" hidden="false" customHeight="false" outlineLevel="0" collapsed="false">
      <c r="A13" s="7" t="s">
        <v>19</v>
      </c>
      <c r="B13" s="38" t="str">
        <f aca="false">IF(Engine!$B$64=0,"",INDEX('Monthly Log'!$C$2:$C$61,$B$4))</f>
        <v/>
      </c>
      <c r="C13" s="38" t="str">
        <f aca="false">IF(Engine!$B$64=0,"",INDEX('Monthly Log'!$C$2:$C$61,Engine!$B$64))</f>
        <v/>
      </c>
      <c r="D13" s="39" t="str">
        <f aca="false">IF(OR(B13="",C13=""),"",C13-B13)</f>
        <v/>
      </c>
    </row>
    <row r="14" customFormat="false" ht="15" hidden="false" customHeight="false" outlineLevel="0" collapsed="false">
      <c r="A14" s="7" t="s">
        <v>20</v>
      </c>
      <c r="B14" s="38" t="str">
        <f aca="false">IF(Engine!$B$64=0,"",INDEX('Monthly Log'!$D$2:$D$61,$B$4))</f>
        <v/>
      </c>
      <c r="C14" s="38" t="str">
        <f aca="false">IF(Engine!$B$64=0,"",INDEX('Monthly Log'!$D$2:$D$61,Engine!$B$64))</f>
        <v/>
      </c>
      <c r="D14" s="39" t="str">
        <f aca="false">IF(OR(B14="",C14=""),"",C14-B14)</f>
        <v/>
      </c>
    </row>
    <row r="15" customFormat="false" ht="15" hidden="false" customHeight="false" outlineLevel="0" collapsed="false">
      <c r="A15" s="7" t="s">
        <v>21</v>
      </c>
      <c r="B15" s="38" t="str">
        <f aca="false">IF(Engine!$B$64=0,"",INDEX('Monthly Log'!$E$2:$E$61,$B$4))</f>
        <v/>
      </c>
      <c r="C15" s="38" t="str">
        <f aca="false">IF(Engine!$B$64=0,"",INDEX('Monthly Log'!$E$2:$E$61,Engine!$B$64))</f>
        <v/>
      </c>
      <c r="D15" s="39" t="str">
        <f aca="false">IF(OR(B15="",C15=""),"",C15-B15)</f>
        <v/>
      </c>
    </row>
    <row r="16" customFormat="false" ht="15" hidden="false" customHeight="false" outlineLevel="0" collapsed="false">
      <c r="A16" s="7" t="s">
        <v>22</v>
      </c>
      <c r="B16" s="38" t="str">
        <f aca="false">IF(Engine!$B$64=0,"",INDEX('Monthly Log'!$F$2:$F$61,$B$4))</f>
        <v/>
      </c>
      <c r="C16" s="38" t="str">
        <f aca="false">IF(Engine!$B$64=0,"",INDEX('Monthly Log'!$F$2:$F$61,Engine!$B$64))</f>
        <v/>
      </c>
      <c r="D16" s="39" t="str">
        <f aca="false">IF(OR(B16="",C16=""),"",C16-B16)</f>
        <v/>
      </c>
    </row>
    <row r="17" customFormat="false" ht="15" hidden="false" customHeight="false" outlineLevel="0" collapsed="false">
      <c r="A17" s="7" t="s">
        <v>23</v>
      </c>
      <c r="B17" s="38" t="str">
        <f aca="false">IF(Engine!$B$64=0,"",INDEX('Monthly Log'!$G$2:$G$61,$B$4))</f>
        <v/>
      </c>
      <c r="C17" s="38" t="str">
        <f aca="false">IF(Engine!$B$64=0,"",INDEX('Monthly Log'!$G$2:$G$61,Engine!$B$64))</f>
        <v/>
      </c>
      <c r="D17" s="39" t="str">
        <f aca="false">IF(OR(B17="",C17=""),"",C17-B17)</f>
        <v/>
      </c>
    </row>
    <row r="18" customFormat="false" ht="15" hidden="false" customHeight="false" outlineLevel="0" collapsed="false">
      <c r="A18" s="7" t="s">
        <v>24</v>
      </c>
      <c r="B18" s="38" t="str">
        <f aca="false">IF(Engine!$B$64=0,"",INDEX('Monthly Log'!$H$2:$H$61,$B$4))</f>
        <v/>
      </c>
      <c r="C18" s="38" t="str">
        <f aca="false">IF(Engine!$B$64=0,"",INDEX('Monthly Log'!$H$2:$H$61,Engine!$B$64))</f>
        <v/>
      </c>
      <c r="D18" s="39" t="str">
        <f aca="false">IF(OR(B18="",C18=""),"",C18-B18)</f>
        <v/>
      </c>
    </row>
    <row r="19" customFormat="false" ht="15" hidden="false" customHeight="false" outlineLevel="0" collapsed="false">
      <c r="A19" s="7" t="s">
        <v>25</v>
      </c>
      <c r="B19" s="38" t="str">
        <f aca="false">IF(Engine!$B$64=0,"",INDEX('Monthly Log'!$I$2:$I$61,$B$4))</f>
        <v/>
      </c>
      <c r="C19" s="38" t="str">
        <f aca="false">IF(Engine!$B$64=0,"",INDEX('Monthly Log'!$I$2:$I$61,Engine!$B$64))</f>
        <v/>
      </c>
      <c r="D19" s="39" t="str">
        <f aca="false">IF(OR(B19="",C19=""),"",C19-B19)</f>
        <v/>
      </c>
    </row>
    <row r="22" customFormat="false" ht="15" hidden="false" customHeight="false" outlineLevel="0" collapsed="false">
      <c r="A22" s="42" t="str">
        <f aca="false">IF(B8="","Log at least one month to see your yearly review here.","Over the last 12 months, your net worth has "&amp;IF(D8&gt;=0,"grown","dropped")&amp;" by "&amp;TEXT(ABS(D8),"$#,##0")&amp;" ("&amp;TEXT(IF(B8=0,0,D8/ABS(B8)),"0.0%")&amp;"), and your savings rate has moved from "&amp;TEXT(B9,"0.0%")&amp;" to "&amp;TEXT(C9,"0.0%")&amp;".")</f>
        <v>Log at least one month to see your yearly review here.</v>
      </c>
      <c r="B22" s="42"/>
      <c r="C22" s="42"/>
      <c r="D22" s="42"/>
      <c r="E22" s="42"/>
    </row>
    <row r="23" customFormat="false" ht="15" hidden="false" customHeight="false" outlineLevel="0" collapsed="false">
      <c r="A23" s="42"/>
      <c r="B23" s="42"/>
      <c r="C23" s="42"/>
      <c r="D23" s="42"/>
      <c r="E23" s="42"/>
    </row>
    <row r="24" customFormat="false" ht="15" hidden="false" customHeight="false" outlineLevel="0" collapsed="false">
      <c r="A24" s="42"/>
      <c r="B24" s="42"/>
      <c r="C24" s="42"/>
      <c r="D24" s="42"/>
      <c r="E24" s="42"/>
    </row>
    <row r="25" customFormat="false" ht="15" hidden="false" customHeight="false" outlineLevel="0" collapsed="false">
      <c r="A25" s="42"/>
      <c r="B25" s="42"/>
      <c r="C25" s="42"/>
      <c r="D25" s="42"/>
      <c r="E25" s="42"/>
    </row>
  </sheetData>
  <mergeCells count="5">
    <mergeCell ref="A1:E1"/>
    <mergeCell ref="A2:E2"/>
    <mergeCell ref="A6:E6"/>
    <mergeCell ref="A11:D11"/>
    <mergeCell ref="A22:E25"/>
  </mergeCells>
  <conditionalFormatting sqref="D13:D1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</row>
    <row r="2" customFormat="false" ht="15" hidden="false" customHeight="false" outlineLevel="0" collapsed="false">
      <c r="A2" s="43" t="str">
        <f aca="false">IF('Monthly Log'!B2="","",'Monthly Log'!C2+'Monthly Log'!D2+'Monthly Log'!E2+'Monthly Log'!F2+'Monthly Log'!G2+'Monthly Log'!H2)</f>
        <v/>
      </c>
      <c r="B2" s="43" t="str">
        <f aca="false">IF('Monthly Log'!B2="","",A2+'Monthly Log'!I2)</f>
        <v/>
      </c>
      <c r="C2" s="43" t="str">
        <f aca="false">IF('Monthly Log'!B2="","",'Monthly Log'!B2-A2-'Monthly Log'!I2-'Monthly Log'!P2-'Monthly Log'!J2-'Monthly Log'!K2)</f>
        <v/>
      </c>
      <c r="D2" s="43" t="str">
        <f aca="false">IF('Monthly Log'!B2="","",'Monthly Log'!L2+'Monthly Log'!M2+'Monthly Log'!N2-'Monthly Log'!O2)</f>
        <v/>
      </c>
      <c r="E2" s="44" t="str">
        <f aca="false">IF('Monthly Log'!B2="","",IF('Monthly Log'!B2=0,0,('Monthly Log'!J2+'Monthly Log'!K2)/'Monthly Log'!B2))</f>
        <v/>
      </c>
      <c r="F2" s="45" t="str">
        <f aca="false">IF('Monthly Log'!B2="","",IF(B2=0,0,'Monthly Log'!N2/B2))</f>
        <v/>
      </c>
      <c r="G2" s="44" t="str">
        <f aca="false">IF('Monthly Log'!B2="","",IF('Monthly Log'!B2=0,0,'Monthly Log'!P2/'Monthly Log'!B2))</f>
        <v/>
      </c>
      <c r="H2" s="45" t="str">
        <f aca="false">IF('Monthly Log'!B2="","",AVERAGE(MIN(E2*100/20*100,100),MIN(F2/6*100,100),MAX(0,100-G2*100*4),IF(C2&gt;=0,100,MAX(0,100+(IF('Monthly Log'!B2=0,0,C2/'Monthly Log'!B2*100)*2)))))</f>
        <v/>
      </c>
      <c r="I2" s="43" t="str">
        <f aca="false">IF('Monthly Log'!B2="","",B2*12*25)</f>
        <v/>
      </c>
      <c r="J2" s="44" t="str">
        <f aca="false">IF('Monthly Log'!B2="","",IF(I2=0,0,('Monthly Log'!L2+'Monthly Log'!M2)/I2))</f>
        <v/>
      </c>
      <c r="K2" s="43" t="str">
        <f aca="false">IF('Monthly Log'!B2="","",'Monthly Log'!C2+'Monthly Log'!D2+'Monthly Log'!E2+'Monthly Log'!F2+'Monthly Log'!P2)</f>
        <v/>
      </c>
      <c r="L2" s="43" t="str">
        <f aca="false">IF('Monthly Log'!B2="","",'Monthly Log'!G2+'Monthly Log'!H2+'Monthly Log'!I2)</f>
        <v/>
      </c>
      <c r="M2" s="43" t="str">
        <f aca="false">IF('Monthly Log'!B2="","",'Monthly Log'!J2+'Monthly Log'!K2)</f>
        <v/>
      </c>
      <c r="N2" s="44" t="str">
        <f aca="false">IF('Monthly Log'!B2="","",IF('Monthly Log'!B2=0,0,K2/'Monthly Log'!B2))</f>
        <v/>
      </c>
      <c r="O2" s="44" t="str">
        <f aca="false">IF('Monthly Log'!B2="","",IF('Monthly Log'!B2=0,0,L2/'Monthly Log'!B2))</f>
        <v/>
      </c>
      <c r="P2" s="44" t="str">
        <f aca="false">IF('Monthly Log'!B2="","",IF('Monthly Log'!B2=0,0,M2/'Monthly Log'!B2))</f>
        <v/>
      </c>
      <c r="Q2" s="43" t="e">
        <f aca="false">IF(D2="",NA(),D2)</f>
        <v>#N/A</v>
      </c>
      <c r="R2" s="44" t="e">
        <f aca="false">IF(E2="",NA(),E2)</f>
        <v>#N/A</v>
      </c>
      <c r="S2" s="43" t="e">
        <f aca="false">IF(C2="",NA(),C2)</f>
        <v>#N/A</v>
      </c>
      <c r="T2" s="44" t="e">
        <f aca="false">IF(J2="",NA(),J2)</f>
        <v>#N/A</v>
      </c>
      <c r="U2" s="45" t="e">
        <f aca="false">IF(H2="",NA(),H2)</f>
        <v>#N/A</v>
      </c>
    </row>
    <row r="3" customFormat="false" ht="15" hidden="false" customHeight="false" outlineLevel="0" collapsed="false">
      <c r="A3" s="43" t="str">
        <f aca="false">IF('Monthly Log'!B3="","",'Monthly Log'!C3+'Monthly Log'!D3+'Monthly Log'!E3+'Monthly Log'!F3+'Monthly Log'!G3+'Monthly Log'!H3)</f>
        <v/>
      </c>
      <c r="B3" s="43" t="str">
        <f aca="false">IF('Monthly Log'!B3="","",A3+'Monthly Log'!I3)</f>
        <v/>
      </c>
      <c r="C3" s="43" t="str">
        <f aca="false">IF('Monthly Log'!B3="","",'Monthly Log'!B3-A3-'Monthly Log'!I3-'Monthly Log'!P3-'Monthly Log'!J3-'Monthly Log'!K3)</f>
        <v/>
      </c>
      <c r="D3" s="43" t="str">
        <f aca="false">IF('Monthly Log'!B3="","",'Monthly Log'!L3+'Monthly Log'!M3+'Monthly Log'!N3-'Monthly Log'!O3)</f>
        <v/>
      </c>
      <c r="E3" s="44" t="str">
        <f aca="false">IF('Monthly Log'!B3="","",IF('Monthly Log'!B3=0,0,('Monthly Log'!J3+'Monthly Log'!K3)/'Monthly Log'!B3))</f>
        <v/>
      </c>
      <c r="F3" s="45" t="str">
        <f aca="false">IF('Monthly Log'!B3="","",IF(B3=0,0,'Monthly Log'!N3/B3))</f>
        <v/>
      </c>
      <c r="G3" s="44" t="str">
        <f aca="false">IF('Monthly Log'!B3="","",IF('Monthly Log'!B3=0,0,'Monthly Log'!P3/'Monthly Log'!B3))</f>
        <v/>
      </c>
      <c r="H3" s="45" t="str">
        <f aca="false">IF('Monthly Log'!B3="","",AVERAGE(MIN(E3*100/20*100,100),MIN(F3/6*100,100),MAX(0,100-G3*100*4),IF(C3&gt;=0,100,MAX(0,100+(IF('Monthly Log'!B3=0,0,C3/'Monthly Log'!B3*100)*2)))))</f>
        <v/>
      </c>
      <c r="I3" s="43" t="str">
        <f aca="false">IF('Monthly Log'!B3="","",B3*12*25)</f>
        <v/>
      </c>
      <c r="J3" s="44" t="str">
        <f aca="false">IF('Monthly Log'!B3="","",IF(I3=0,0,('Monthly Log'!L3+'Monthly Log'!M3)/I3))</f>
        <v/>
      </c>
      <c r="K3" s="43" t="str">
        <f aca="false">IF('Monthly Log'!B3="","",'Monthly Log'!C3+'Monthly Log'!D3+'Monthly Log'!E3+'Monthly Log'!F3+'Monthly Log'!P3)</f>
        <v/>
      </c>
      <c r="L3" s="43" t="str">
        <f aca="false">IF('Monthly Log'!B3="","",'Monthly Log'!G3+'Monthly Log'!H3+'Monthly Log'!I3)</f>
        <v/>
      </c>
      <c r="M3" s="43" t="str">
        <f aca="false">IF('Monthly Log'!B3="","",'Monthly Log'!J3+'Monthly Log'!K3)</f>
        <v/>
      </c>
      <c r="N3" s="44" t="str">
        <f aca="false">IF('Monthly Log'!B3="","",IF('Monthly Log'!B3=0,0,K3/'Monthly Log'!B3))</f>
        <v/>
      </c>
      <c r="O3" s="44" t="str">
        <f aca="false">IF('Monthly Log'!B3="","",IF('Monthly Log'!B3=0,0,L3/'Monthly Log'!B3))</f>
        <v/>
      </c>
      <c r="P3" s="44" t="str">
        <f aca="false">IF('Monthly Log'!B3="","",IF('Monthly Log'!B3=0,0,M3/'Monthly Log'!B3))</f>
        <v/>
      </c>
      <c r="Q3" s="43" t="e">
        <f aca="false">IF(D3="",NA(),D3)</f>
        <v>#N/A</v>
      </c>
      <c r="R3" s="44" t="e">
        <f aca="false">IF(E3="",NA(),E3)</f>
        <v>#N/A</v>
      </c>
      <c r="S3" s="43" t="e">
        <f aca="false">IF(C3="",NA(),C3)</f>
        <v>#N/A</v>
      </c>
      <c r="T3" s="44" t="e">
        <f aca="false">IF(J3="",NA(),J3)</f>
        <v>#N/A</v>
      </c>
      <c r="U3" s="45" t="e">
        <f aca="false">IF(H3="",NA(),H3)</f>
        <v>#N/A</v>
      </c>
    </row>
    <row r="4" customFormat="false" ht="15" hidden="false" customHeight="false" outlineLevel="0" collapsed="false">
      <c r="A4" s="43" t="str">
        <f aca="false">IF('Monthly Log'!B4="","",'Monthly Log'!C4+'Monthly Log'!D4+'Monthly Log'!E4+'Monthly Log'!F4+'Monthly Log'!G4+'Monthly Log'!H4)</f>
        <v/>
      </c>
      <c r="B4" s="43" t="str">
        <f aca="false">IF('Monthly Log'!B4="","",A4+'Monthly Log'!I4)</f>
        <v/>
      </c>
      <c r="C4" s="43" t="str">
        <f aca="false">IF('Monthly Log'!B4="","",'Monthly Log'!B4-A4-'Monthly Log'!I4-'Monthly Log'!P4-'Monthly Log'!J4-'Monthly Log'!K4)</f>
        <v/>
      </c>
      <c r="D4" s="43" t="str">
        <f aca="false">IF('Monthly Log'!B4="","",'Monthly Log'!L4+'Monthly Log'!M4+'Monthly Log'!N4-'Monthly Log'!O4)</f>
        <v/>
      </c>
      <c r="E4" s="44" t="str">
        <f aca="false">IF('Monthly Log'!B4="","",IF('Monthly Log'!B4=0,0,('Monthly Log'!J4+'Monthly Log'!K4)/'Monthly Log'!B4))</f>
        <v/>
      </c>
      <c r="F4" s="45" t="str">
        <f aca="false">IF('Monthly Log'!B4="","",IF(B4=0,0,'Monthly Log'!N4/B4))</f>
        <v/>
      </c>
      <c r="G4" s="44" t="str">
        <f aca="false">IF('Monthly Log'!B4="","",IF('Monthly Log'!B4=0,0,'Monthly Log'!P4/'Monthly Log'!B4))</f>
        <v/>
      </c>
      <c r="H4" s="45" t="str">
        <f aca="false">IF('Monthly Log'!B4="","",AVERAGE(MIN(E4*100/20*100,100),MIN(F4/6*100,100),MAX(0,100-G4*100*4),IF(C4&gt;=0,100,MAX(0,100+(IF('Monthly Log'!B4=0,0,C4/'Monthly Log'!B4*100)*2)))))</f>
        <v/>
      </c>
      <c r="I4" s="43" t="str">
        <f aca="false">IF('Monthly Log'!B4="","",B4*12*25)</f>
        <v/>
      </c>
      <c r="J4" s="44" t="str">
        <f aca="false">IF('Monthly Log'!B4="","",IF(I4=0,0,('Monthly Log'!L4+'Monthly Log'!M4)/I4))</f>
        <v/>
      </c>
      <c r="K4" s="43" t="str">
        <f aca="false">IF('Monthly Log'!B4="","",'Monthly Log'!C4+'Monthly Log'!D4+'Monthly Log'!E4+'Monthly Log'!F4+'Monthly Log'!P4)</f>
        <v/>
      </c>
      <c r="L4" s="43" t="str">
        <f aca="false">IF('Monthly Log'!B4="","",'Monthly Log'!G4+'Monthly Log'!H4+'Monthly Log'!I4)</f>
        <v/>
      </c>
      <c r="M4" s="43" t="str">
        <f aca="false">IF('Monthly Log'!B4="","",'Monthly Log'!J4+'Monthly Log'!K4)</f>
        <v/>
      </c>
      <c r="N4" s="44" t="str">
        <f aca="false">IF('Monthly Log'!B4="","",IF('Monthly Log'!B4=0,0,K4/'Monthly Log'!B4))</f>
        <v/>
      </c>
      <c r="O4" s="44" t="str">
        <f aca="false">IF('Monthly Log'!B4="","",IF('Monthly Log'!B4=0,0,L4/'Monthly Log'!B4))</f>
        <v/>
      </c>
      <c r="P4" s="44" t="str">
        <f aca="false">IF('Monthly Log'!B4="","",IF('Monthly Log'!B4=0,0,M4/'Monthly Log'!B4))</f>
        <v/>
      </c>
      <c r="Q4" s="43" t="e">
        <f aca="false">IF(D4="",NA(),D4)</f>
        <v>#N/A</v>
      </c>
      <c r="R4" s="44" t="e">
        <f aca="false">IF(E4="",NA(),E4)</f>
        <v>#N/A</v>
      </c>
      <c r="S4" s="43" t="e">
        <f aca="false">IF(C4="",NA(),C4)</f>
        <v>#N/A</v>
      </c>
      <c r="T4" s="44" t="e">
        <f aca="false">IF(J4="",NA(),J4)</f>
        <v>#N/A</v>
      </c>
      <c r="U4" s="45" t="e">
        <f aca="false">IF(H4="",NA(),H4)</f>
        <v>#N/A</v>
      </c>
    </row>
    <row r="5" customFormat="false" ht="15" hidden="false" customHeight="false" outlineLevel="0" collapsed="false">
      <c r="A5" s="43" t="str">
        <f aca="false">IF('Monthly Log'!B5="","",'Monthly Log'!C5+'Monthly Log'!D5+'Monthly Log'!E5+'Monthly Log'!F5+'Monthly Log'!G5+'Monthly Log'!H5)</f>
        <v/>
      </c>
      <c r="B5" s="43" t="str">
        <f aca="false">IF('Monthly Log'!B5="","",A5+'Monthly Log'!I5)</f>
        <v/>
      </c>
      <c r="C5" s="43" t="str">
        <f aca="false">IF('Monthly Log'!B5="","",'Monthly Log'!B5-A5-'Monthly Log'!I5-'Monthly Log'!P5-'Monthly Log'!J5-'Monthly Log'!K5)</f>
        <v/>
      </c>
      <c r="D5" s="43" t="str">
        <f aca="false">IF('Monthly Log'!B5="","",'Monthly Log'!L5+'Monthly Log'!M5+'Monthly Log'!N5-'Monthly Log'!O5)</f>
        <v/>
      </c>
      <c r="E5" s="44" t="str">
        <f aca="false">IF('Monthly Log'!B5="","",IF('Monthly Log'!B5=0,0,('Monthly Log'!J5+'Monthly Log'!K5)/'Monthly Log'!B5))</f>
        <v/>
      </c>
      <c r="F5" s="45" t="str">
        <f aca="false">IF('Monthly Log'!B5="","",IF(B5=0,0,'Monthly Log'!N5/B5))</f>
        <v/>
      </c>
      <c r="G5" s="44" t="str">
        <f aca="false">IF('Monthly Log'!B5="","",IF('Monthly Log'!B5=0,0,'Monthly Log'!P5/'Monthly Log'!B5))</f>
        <v/>
      </c>
      <c r="H5" s="45" t="str">
        <f aca="false">IF('Monthly Log'!B5="","",AVERAGE(MIN(E5*100/20*100,100),MIN(F5/6*100,100),MAX(0,100-G5*100*4),IF(C5&gt;=0,100,MAX(0,100+(IF('Monthly Log'!B5=0,0,C5/'Monthly Log'!B5*100)*2)))))</f>
        <v/>
      </c>
      <c r="I5" s="43" t="str">
        <f aca="false">IF('Monthly Log'!B5="","",B5*12*25)</f>
        <v/>
      </c>
      <c r="J5" s="44" t="str">
        <f aca="false">IF('Monthly Log'!B5="","",IF(I5=0,0,('Monthly Log'!L5+'Monthly Log'!M5)/I5))</f>
        <v/>
      </c>
      <c r="K5" s="43" t="str">
        <f aca="false">IF('Monthly Log'!B5="","",'Monthly Log'!C5+'Monthly Log'!D5+'Monthly Log'!E5+'Monthly Log'!F5+'Monthly Log'!P5)</f>
        <v/>
      </c>
      <c r="L5" s="43" t="str">
        <f aca="false">IF('Monthly Log'!B5="","",'Monthly Log'!G5+'Monthly Log'!H5+'Monthly Log'!I5)</f>
        <v/>
      </c>
      <c r="M5" s="43" t="str">
        <f aca="false">IF('Monthly Log'!B5="","",'Monthly Log'!J5+'Monthly Log'!K5)</f>
        <v/>
      </c>
      <c r="N5" s="44" t="str">
        <f aca="false">IF('Monthly Log'!B5="","",IF('Monthly Log'!B5=0,0,K5/'Monthly Log'!B5))</f>
        <v/>
      </c>
      <c r="O5" s="44" t="str">
        <f aca="false">IF('Monthly Log'!B5="","",IF('Monthly Log'!B5=0,0,L5/'Monthly Log'!B5))</f>
        <v/>
      </c>
      <c r="P5" s="44" t="str">
        <f aca="false">IF('Monthly Log'!B5="","",IF('Monthly Log'!B5=0,0,M5/'Monthly Log'!B5))</f>
        <v/>
      </c>
      <c r="Q5" s="43" t="e">
        <f aca="false">IF(D5="",NA(),D5)</f>
        <v>#N/A</v>
      </c>
      <c r="R5" s="44" t="e">
        <f aca="false">IF(E5="",NA(),E5)</f>
        <v>#N/A</v>
      </c>
      <c r="S5" s="43" t="e">
        <f aca="false">IF(C5="",NA(),C5)</f>
        <v>#N/A</v>
      </c>
      <c r="T5" s="44" t="e">
        <f aca="false">IF(J5="",NA(),J5)</f>
        <v>#N/A</v>
      </c>
      <c r="U5" s="45" t="e">
        <f aca="false">IF(H5="",NA(),H5)</f>
        <v>#N/A</v>
      </c>
    </row>
    <row r="6" customFormat="false" ht="15" hidden="false" customHeight="false" outlineLevel="0" collapsed="false">
      <c r="A6" s="43" t="str">
        <f aca="false">IF('Monthly Log'!B6="","",'Monthly Log'!C6+'Monthly Log'!D6+'Monthly Log'!E6+'Monthly Log'!F6+'Monthly Log'!G6+'Monthly Log'!H6)</f>
        <v/>
      </c>
      <c r="B6" s="43" t="str">
        <f aca="false">IF('Monthly Log'!B6="","",A6+'Monthly Log'!I6)</f>
        <v/>
      </c>
      <c r="C6" s="43" t="str">
        <f aca="false">IF('Monthly Log'!B6="","",'Monthly Log'!B6-A6-'Monthly Log'!I6-'Monthly Log'!P6-'Monthly Log'!J6-'Monthly Log'!K6)</f>
        <v/>
      </c>
      <c r="D6" s="43" t="str">
        <f aca="false">IF('Monthly Log'!B6="","",'Monthly Log'!L6+'Monthly Log'!M6+'Monthly Log'!N6-'Monthly Log'!O6)</f>
        <v/>
      </c>
      <c r="E6" s="44" t="str">
        <f aca="false">IF('Monthly Log'!B6="","",IF('Monthly Log'!B6=0,0,('Monthly Log'!J6+'Monthly Log'!K6)/'Monthly Log'!B6))</f>
        <v/>
      </c>
      <c r="F6" s="45" t="str">
        <f aca="false">IF('Monthly Log'!B6="","",IF(B6=0,0,'Monthly Log'!N6/B6))</f>
        <v/>
      </c>
      <c r="G6" s="44" t="str">
        <f aca="false">IF('Monthly Log'!B6="","",IF('Monthly Log'!B6=0,0,'Monthly Log'!P6/'Monthly Log'!B6))</f>
        <v/>
      </c>
      <c r="H6" s="45" t="str">
        <f aca="false">IF('Monthly Log'!B6="","",AVERAGE(MIN(E6*100/20*100,100),MIN(F6/6*100,100),MAX(0,100-G6*100*4),IF(C6&gt;=0,100,MAX(0,100+(IF('Monthly Log'!B6=0,0,C6/'Monthly Log'!B6*100)*2)))))</f>
        <v/>
      </c>
      <c r="I6" s="43" t="str">
        <f aca="false">IF('Monthly Log'!B6="","",B6*12*25)</f>
        <v/>
      </c>
      <c r="J6" s="44" t="str">
        <f aca="false">IF('Monthly Log'!B6="","",IF(I6=0,0,('Monthly Log'!L6+'Monthly Log'!M6)/I6))</f>
        <v/>
      </c>
      <c r="K6" s="43" t="str">
        <f aca="false">IF('Monthly Log'!B6="","",'Monthly Log'!C6+'Monthly Log'!D6+'Monthly Log'!E6+'Monthly Log'!F6+'Monthly Log'!P6)</f>
        <v/>
      </c>
      <c r="L6" s="43" t="str">
        <f aca="false">IF('Monthly Log'!B6="","",'Monthly Log'!G6+'Monthly Log'!H6+'Monthly Log'!I6)</f>
        <v/>
      </c>
      <c r="M6" s="43" t="str">
        <f aca="false">IF('Monthly Log'!B6="","",'Monthly Log'!J6+'Monthly Log'!K6)</f>
        <v/>
      </c>
      <c r="N6" s="44" t="str">
        <f aca="false">IF('Monthly Log'!B6="","",IF('Monthly Log'!B6=0,0,K6/'Monthly Log'!B6))</f>
        <v/>
      </c>
      <c r="O6" s="44" t="str">
        <f aca="false">IF('Monthly Log'!B6="","",IF('Monthly Log'!B6=0,0,L6/'Monthly Log'!B6))</f>
        <v/>
      </c>
      <c r="P6" s="44" t="str">
        <f aca="false">IF('Monthly Log'!B6="","",IF('Monthly Log'!B6=0,0,M6/'Monthly Log'!B6))</f>
        <v/>
      </c>
      <c r="Q6" s="43" t="e">
        <f aca="false">IF(D6="",NA(),D6)</f>
        <v>#N/A</v>
      </c>
      <c r="R6" s="44" t="e">
        <f aca="false">IF(E6="",NA(),E6)</f>
        <v>#N/A</v>
      </c>
      <c r="S6" s="43" t="e">
        <f aca="false">IF(C6="",NA(),C6)</f>
        <v>#N/A</v>
      </c>
      <c r="T6" s="44" t="e">
        <f aca="false">IF(J6="",NA(),J6)</f>
        <v>#N/A</v>
      </c>
      <c r="U6" s="45" t="e">
        <f aca="false">IF(H6="",NA(),H6)</f>
        <v>#N/A</v>
      </c>
    </row>
    <row r="7" customFormat="false" ht="15" hidden="false" customHeight="false" outlineLevel="0" collapsed="false">
      <c r="A7" s="43" t="str">
        <f aca="false">IF('Monthly Log'!B7="","",'Monthly Log'!C7+'Monthly Log'!D7+'Monthly Log'!E7+'Monthly Log'!F7+'Monthly Log'!G7+'Monthly Log'!H7)</f>
        <v/>
      </c>
      <c r="B7" s="43" t="str">
        <f aca="false">IF('Monthly Log'!B7="","",A7+'Monthly Log'!I7)</f>
        <v/>
      </c>
      <c r="C7" s="43" t="str">
        <f aca="false">IF('Monthly Log'!B7="","",'Monthly Log'!B7-A7-'Monthly Log'!I7-'Monthly Log'!P7-'Monthly Log'!J7-'Monthly Log'!K7)</f>
        <v/>
      </c>
      <c r="D7" s="43" t="str">
        <f aca="false">IF('Monthly Log'!B7="","",'Monthly Log'!L7+'Monthly Log'!M7+'Monthly Log'!N7-'Monthly Log'!O7)</f>
        <v/>
      </c>
      <c r="E7" s="44" t="str">
        <f aca="false">IF('Monthly Log'!B7="","",IF('Monthly Log'!B7=0,0,('Monthly Log'!J7+'Monthly Log'!K7)/'Monthly Log'!B7))</f>
        <v/>
      </c>
      <c r="F7" s="45" t="str">
        <f aca="false">IF('Monthly Log'!B7="","",IF(B7=0,0,'Monthly Log'!N7/B7))</f>
        <v/>
      </c>
      <c r="G7" s="44" t="str">
        <f aca="false">IF('Monthly Log'!B7="","",IF('Monthly Log'!B7=0,0,'Monthly Log'!P7/'Monthly Log'!B7))</f>
        <v/>
      </c>
      <c r="H7" s="45" t="str">
        <f aca="false">IF('Monthly Log'!B7="","",AVERAGE(MIN(E7*100/20*100,100),MIN(F7/6*100,100),MAX(0,100-G7*100*4),IF(C7&gt;=0,100,MAX(0,100+(IF('Monthly Log'!B7=0,0,C7/'Monthly Log'!B7*100)*2)))))</f>
        <v/>
      </c>
      <c r="I7" s="43" t="str">
        <f aca="false">IF('Monthly Log'!B7="","",B7*12*25)</f>
        <v/>
      </c>
      <c r="J7" s="44" t="str">
        <f aca="false">IF('Monthly Log'!B7="","",IF(I7=0,0,('Monthly Log'!L7+'Monthly Log'!M7)/I7))</f>
        <v/>
      </c>
      <c r="K7" s="43" t="str">
        <f aca="false">IF('Monthly Log'!B7="","",'Monthly Log'!C7+'Monthly Log'!D7+'Monthly Log'!E7+'Monthly Log'!F7+'Monthly Log'!P7)</f>
        <v/>
      </c>
      <c r="L7" s="43" t="str">
        <f aca="false">IF('Monthly Log'!B7="","",'Monthly Log'!G7+'Monthly Log'!H7+'Monthly Log'!I7)</f>
        <v/>
      </c>
      <c r="M7" s="43" t="str">
        <f aca="false">IF('Monthly Log'!B7="","",'Monthly Log'!J7+'Monthly Log'!K7)</f>
        <v/>
      </c>
      <c r="N7" s="44" t="str">
        <f aca="false">IF('Monthly Log'!B7="","",IF('Monthly Log'!B7=0,0,K7/'Monthly Log'!B7))</f>
        <v/>
      </c>
      <c r="O7" s="44" t="str">
        <f aca="false">IF('Monthly Log'!B7="","",IF('Monthly Log'!B7=0,0,L7/'Monthly Log'!B7))</f>
        <v/>
      </c>
      <c r="P7" s="44" t="str">
        <f aca="false">IF('Monthly Log'!B7="","",IF('Monthly Log'!B7=0,0,M7/'Monthly Log'!B7))</f>
        <v/>
      </c>
      <c r="Q7" s="43" t="e">
        <f aca="false">IF(D7="",NA(),D7)</f>
        <v>#N/A</v>
      </c>
      <c r="R7" s="44" t="e">
        <f aca="false">IF(E7="",NA(),E7)</f>
        <v>#N/A</v>
      </c>
      <c r="S7" s="43" t="e">
        <f aca="false">IF(C7="",NA(),C7)</f>
        <v>#N/A</v>
      </c>
      <c r="T7" s="44" t="e">
        <f aca="false">IF(J7="",NA(),J7)</f>
        <v>#N/A</v>
      </c>
      <c r="U7" s="45" t="e">
        <f aca="false">IF(H7="",NA(),H7)</f>
        <v>#N/A</v>
      </c>
    </row>
    <row r="8" customFormat="false" ht="15" hidden="false" customHeight="false" outlineLevel="0" collapsed="false">
      <c r="A8" s="43" t="str">
        <f aca="false">IF('Monthly Log'!B8="","",'Monthly Log'!C8+'Monthly Log'!D8+'Monthly Log'!E8+'Monthly Log'!F8+'Monthly Log'!G8+'Monthly Log'!H8)</f>
        <v/>
      </c>
      <c r="B8" s="43" t="str">
        <f aca="false">IF('Monthly Log'!B8="","",A8+'Monthly Log'!I8)</f>
        <v/>
      </c>
      <c r="C8" s="43" t="str">
        <f aca="false">IF('Monthly Log'!B8="","",'Monthly Log'!B8-A8-'Monthly Log'!I8-'Monthly Log'!P8-'Monthly Log'!J8-'Monthly Log'!K8)</f>
        <v/>
      </c>
      <c r="D8" s="43" t="str">
        <f aca="false">IF('Monthly Log'!B8="","",'Monthly Log'!L8+'Monthly Log'!M8+'Monthly Log'!N8-'Monthly Log'!O8)</f>
        <v/>
      </c>
      <c r="E8" s="44" t="str">
        <f aca="false">IF('Monthly Log'!B8="","",IF('Monthly Log'!B8=0,0,('Monthly Log'!J8+'Monthly Log'!K8)/'Monthly Log'!B8))</f>
        <v/>
      </c>
      <c r="F8" s="45" t="str">
        <f aca="false">IF('Monthly Log'!B8="","",IF(B8=0,0,'Monthly Log'!N8/B8))</f>
        <v/>
      </c>
      <c r="G8" s="44" t="str">
        <f aca="false">IF('Monthly Log'!B8="","",IF('Monthly Log'!B8=0,0,'Monthly Log'!P8/'Monthly Log'!B8))</f>
        <v/>
      </c>
      <c r="H8" s="45" t="str">
        <f aca="false">IF('Monthly Log'!B8="","",AVERAGE(MIN(E8*100/20*100,100),MIN(F8/6*100,100),MAX(0,100-G8*100*4),IF(C8&gt;=0,100,MAX(0,100+(IF('Monthly Log'!B8=0,0,C8/'Monthly Log'!B8*100)*2)))))</f>
        <v/>
      </c>
      <c r="I8" s="43" t="str">
        <f aca="false">IF('Monthly Log'!B8="","",B8*12*25)</f>
        <v/>
      </c>
      <c r="J8" s="44" t="str">
        <f aca="false">IF('Monthly Log'!B8="","",IF(I8=0,0,('Monthly Log'!L8+'Monthly Log'!M8)/I8))</f>
        <v/>
      </c>
      <c r="K8" s="43" t="str">
        <f aca="false">IF('Monthly Log'!B8="","",'Monthly Log'!C8+'Monthly Log'!D8+'Monthly Log'!E8+'Monthly Log'!F8+'Monthly Log'!P8)</f>
        <v/>
      </c>
      <c r="L8" s="43" t="str">
        <f aca="false">IF('Monthly Log'!B8="","",'Monthly Log'!G8+'Monthly Log'!H8+'Monthly Log'!I8)</f>
        <v/>
      </c>
      <c r="M8" s="43" t="str">
        <f aca="false">IF('Monthly Log'!B8="","",'Monthly Log'!J8+'Monthly Log'!K8)</f>
        <v/>
      </c>
      <c r="N8" s="44" t="str">
        <f aca="false">IF('Monthly Log'!B8="","",IF('Monthly Log'!B8=0,0,K8/'Monthly Log'!B8))</f>
        <v/>
      </c>
      <c r="O8" s="44" t="str">
        <f aca="false">IF('Monthly Log'!B8="","",IF('Monthly Log'!B8=0,0,L8/'Monthly Log'!B8))</f>
        <v/>
      </c>
      <c r="P8" s="44" t="str">
        <f aca="false">IF('Monthly Log'!B8="","",IF('Monthly Log'!B8=0,0,M8/'Monthly Log'!B8))</f>
        <v/>
      </c>
      <c r="Q8" s="43" t="e">
        <f aca="false">IF(D8="",NA(),D8)</f>
        <v>#N/A</v>
      </c>
      <c r="R8" s="44" t="e">
        <f aca="false">IF(E8="",NA(),E8)</f>
        <v>#N/A</v>
      </c>
      <c r="S8" s="43" t="e">
        <f aca="false">IF(C8="",NA(),C8)</f>
        <v>#N/A</v>
      </c>
      <c r="T8" s="44" t="e">
        <f aca="false">IF(J8="",NA(),J8)</f>
        <v>#N/A</v>
      </c>
      <c r="U8" s="45" t="e">
        <f aca="false">IF(H8="",NA(),H8)</f>
        <v>#N/A</v>
      </c>
    </row>
    <row r="9" customFormat="false" ht="15" hidden="false" customHeight="false" outlineLevel="0" collapsed="false">
      <c r="A9" s="43" t="str">
        <f aca="false">IF('Monthly Log'!B9="","",'Monthly Log'!C9+'Monthly Log'!D9+'Monthly Log'!E9+'Monthly Log'!F9+'Monthly Log'!G9+'Monthly Log'!H9)</f>
        <v/>
      </c>
      <c r="B9" s="43" t="str">
        <f aca="false">IF('Monthly Log'!B9="","",A9+'Monthly Log'!I9)</f>
        <v/>
      </c>
      <c r="C9" s="43" t="str">
        <f aca="false">IF('Monthly Log'!B9="","",'Monthly Log'!B9-A9-'Monthly Log'!I9-'Monthly Log'!P9-'Monthly Log'!J9-'Monthly Log'!K9)</f>
        <v/>
      </c>
      <c r="D9" s="43" t="str">
        <f aca="false">IF('Monthly Log'!B9="","",'Monthly Log'!L9+'Monthly Log'!M9+'Monthly Log'!N9-'Monthly Log'!O9)</f>
        <v/>
      </c>
      <c r="E9" s="44" t="str">
        <f aca="false">IF('Monthly Log'!B9="","",IF('Monthly Log'!B9=0,0,('Monthly Log'!J9+'Monthly Log'!K9)/'Monthly Log'!B9))</f>
        <v/>
      </c>
      <c r="F9" s="45" t="str">
        <f aca="false">IF('Monthly Log'!B9="","",IF(B9=0,0,'Monthly Log'!N9/B9))</f>
        <v/>
      </c>
      <c r="G9" s="44" t="str">
        <f aca="false">IF('Monthly Log'!B9="","",IF('Monthly Log'!B9=0,0,'Monthly Log'!P9/'Monthly Log'!B9))</f>
        <v/>
      </c>
      <c r="H9" s="45" t="str">
        <f aca="false">IF('Monthly Log'!B9="","",AVERAGE(MIN(E9*100/20*100,100),MIN(F9/6*100,100),MAX(0,100-G9*100*4),IF(C9&gt;=0,100,MAX(0,100+(IF('Monthly Log'!B9=0,0,C9/'Monthly Log'!B9*100)*2)))))</f>
        <v/>
      </c>
      <c r="I9" s="43" t="str">
        <f aca="false">IF('Monthly Log'!B9="","",B9*12*25)</f>
        <v/>
      </c>
      <c r="J9" s="44" t="str">
        <f aca="false">IF('Monthly Log'!B9="","",IF(I9=0,0,('Monthly Log'!L9+'Monthly Log'!M9)/I9))</f>
        <v/>
      </c>
      <c r="K9" s="43" t="str">
        <f aca="false">IF('Monthly Log'!B9="","",'Monthly Log'!C9+'Monthly Log'!D9+'Monthly Log'!E9+'Monthly Log'!F9+'Monthly Log'!P9)</f>
        <v/>
      </c>
      <c r="L9" s="43" t="str">
        <f aca="false">IF('Monthly Log'!B9="","",'Monthly Log'!G9+'Monthly Log'!H9+'Monthly Log'!I9)</f>
        <v/>
      </c>
      <c r="M9" s="43" t="str">
        <f aca="false">IF('Monthly Log'!B9="","",'Monthly Log'!J9+'Monthly Log'!K9)</f>
        <v/>
      </c>
      <c r="N9" s="44" t="str">
        <f aca="false">IF('Monthly Log'!B9="","",IF('Monthly Log'!B9=0,0,K9/'Monthly Log'!B9))</f>
        <v/>
      </c>
      <c r="O9" s="44" t="str">
        <f aca="false">IF('Monthly Log'!B9="","",IF('Monthly Log'!B9=0,0,L9/'Monthly Log'!B9))</f>
        <v/>
      </c>
      <c r="P9" s="44" t="str">
        <f aca="false">IF('Monthly Log'!B9="","",IF('Monthly Log'!B9=0,0,M9/'Monthly Log'!B9))</f>
        <v/>
      </c>
      <c r="Q9" s="43" t="e">
        <f aca="false">IF(D9="",NA(),D9)</f>
        <v>#N/A</v>
      </c>
      <c r="R9" s="44" t="e">
        <f aca="false">IF(E9="",NA(),E9)</f>
        <v>#N/A</v>
      </c>
      <c r="S9" s="43" t="e">
        <f aca="false">IF(C9="",NA(),C9)</f>
        <v>#N/A</v>
      </c>
      <c r="T9" s="44" t="e">
        <f aca="false">IF(J9="",NA(),J9)</f>
        <v>#N/A</v>
      </c>
      <c r="U9" s="45" t="e">
        <f aca="false">IF(H9="",NA(),H9)</f>
        <v>#N/A</v>
      </c>
    </row>
    <row r="10" customFormat="false" ht="15" hidden="false" customHeight="false" outlineLevel="0" collapsed="false">
      <c r="A10" s="43" t="str">
        <f aca="false">IF('Monthly Log'!B10="","",'Monthly Log'!C10+'Monthly Log'!D10+'Monthly Log'!E10+'Monthly Log'!F10+'Monthly Log'!G10+'Monthly Log'!H10)</f>
        <v/>
      </c>
      <c r="B10" s="43" t="str">
        <f aca="false">IF('Monthly Log'!B10="","",A10+'Monthly Log'!I10)</f>
        <v/>
      </c>
      <c r="C10" s="43" t="str">
        <f aca="false">IF('Monthly Log'!B10="","",'Monthly Log'!B10-A10-'Monthly Log'!I10-'Monthly Log'!P10-'Monthly Log'!J10-'Monthly Log'!K10)</f>
        <v/>
      </c>
      <c r="D10" s="43" t="str">
        <f aca="false">IF('Monthly Log'!B10="","",'Monthly Log'!L10+'Monthly Log'!M10+'Monthly Log'!N10-'Monthly Log'!O10)</f>
        <v/>
      </c>
      <c r="E10" s="44" t="str">
        <f aca="false">IF('Monthly Log'!B10="","",IF('Monthly Log'!B10=0,0,('Monthly Log'!J10+'Monthly Log'!K10)/'Monthly Log'!B10))</f>
        <v/>
      </c>
      <c r="F10" s="45" t="str">
        <f aca="false">IF('Monthly Log'!B10="","",IF(B10=0,0,'Monthly Log'!N10/B10))</f>
        <v/>
      </c>
      <c r="G10" s="44" t="str">
        <f aca="false">IF('Monthly Log'!B10="","",IF('Monthly Log'!B10=0,0,'Monthly Log'!P10/'Monthly Log'!B10))</f>
        <v/>
      </c>
      <c r="H10" s="45" t="str">
        <f aca="false">IF('Monthly Log'!B10="","",AVERAGE(MIN(E10*100/20*100,100),MIN(F10/6*100,100),MAX(0,100-G10*100*4),IF(C10&gt;=0,100,MAX(0,100+(IF('Monthly Log'!B10=0,0,C10/'Monthly Log'!B10*100)*2)))))</f>
        <v/>
      </c>
      <c r="I10" s="43" t="str">
        <f aca="false">IF('Monthly Log'!B10="","",B10*12*25)</f>
        <v/>
      </c>
      <c r="J10" s="44" t="str">
        <f aca="false">IF('Monthly Log'!B10="","",IF(I10=0,0,('Monthly Log'!L10+'Monthly Log'!M10)/I10))</f>
        <v/>
      </c>
      <c r="K10" s="43" t="str">
        <f aca="false">IF('Monthly Log'!B10="","",'Monthly Log'!C10+'Monthly Log'!D10+'Monthly Log'!E10+'Monthly Log'!F10+'Monthly Log'!P10)</f>
        <v/>
      </c>
      <c r="L10" s="43" t="str">
        <f aca="false">IF('Monthly Log'!B10="","",'Monthly Log'!G10+'Monthly Log'!H10+'Monthly Log'!I10)</f>
        <v/>
      </c>
      <c r="M10" s="43" t="str">
        <f aca="false">IF('Monthly Log'!B10="","",'Monthly Log'!J10+'Monthly Log'!K10)</f>
        <v/>
      </c>
      <c r="N10" s="44" t="str">
        <f aca="false">IF('Monthly Log'!B10="","",IF('Monthly Log'!B10=0,0,K10/'Monthly Log'!B10))</f>
        <v/>
      </c>
      <c r="O10" s="44" t="str">
        <f aca="false">IF('Monthly Log'!B10="","",IF('Monthly Log'!B10=0,0,L10/'Monthly Log'!B10))</f>
        <v/>
      </c>
      <c r="P10" s="44" t="str">
        <f aca="false">IF('Monthly Log'!B10="","",IF('Monthly Log'!B10=0,0,M10/'Monthly Log'!B10))</f>
        <v/>
      </c>
      <c r="Q10" s="43" t="e">
        <f aca="false">IF(D10="",NA(),D10)</f>
        <v>#N/A</v>
      </c>
      <c r="R10" s="44" t="e">
        <f aca="false">IF(E10="",NA(),E10)</f>
        <v>#N/A</v>
      </c>
      <c r="S10" s="43" t="e">
        <f aca="false">IF(C10="",NA(),C10)</f>
        <v>#N/A</v>
      </c>
      <c r="T10" s="44" t="e">
        <f aca="false">IF(J10="",NA(),J10)</f>
        <v>#N/A</v>
      </c>
      <c r="U10" s="45" t="e">
        <f aca="false">IF(H10="",NA(),H10)</f>
        <v>#N/A</v>
      </c>
    </row>
    <row r="11" customFormat="false" ht="15" hidden="false" customHeight="false" outlineLevel="0" collapsed="false">
      <c r="A11" s="43" t="str">
        <f aca="false">IF('Monthly Log'!B11="","",'Monthly Log'!C11+'Monthly Log'!D11+'Monthly Log'!E11+'Monthly Log'!F11+'Monthly Log'!G11+'Monthly Log'!H11)</f>
        <v/>
      </c>
      <c r="B11" s="43" t="str">
        <f aca="false">IF('Monthly Log'!B11="","",A11+'Monthly Log'!I11)</f>
        <v/>
      </c>
      <c r="C11" s="43" t="str">
        <f aca="false">IF('Monthly Log'!B11="","",'Monthly Log'!B11-A11-'Monthly Log'!I11-'Monthly Log'!P11-'Monthly Log'!J11-'Monthly Log'!K11)</f>
        <v/>
      </c>
      <c r="D11" s="43" t="str">
        <f aca="false">IF('Monthly Log'!B11="","",'Monthly Log'!L11+'Monthly Log'!M11+'Monthly Log'!N11-'Monthly Log'!O11)</f>
        <v/>
      </c>
      <c r="E11" s="44" t="str">
        <f aca="false">IF('Monthly Log'!B11="","",IF('Monthly Log'!B11=0,0,('Monthly Log'!J11+'Monthly Log'!K11)/'Monthly Log'!B11))</f>
        <v/>
      </c>
      <c r="F11" s="45" t="str">
        <f aca="false">IF('Monthly Log'!B11="","",IF(B11=0,0,'Monthly Log'!N11/B11))</f>
        <v/>
      </c>
      <c r="G11" s="44" t="str">
        <f aca="false">IF('Monthly Log'!B11="","",IF('Monthly Log'!B11=0,0,'Monthly Log'!P11/'Monthly Log'!B11))</f>
        <v/>
      </c>
      <c r="H11" s="45" t="str">
        <f aca="false">IF('Monthly Log'!B11="","",AVERAGE(MIN(E11*100/20*100,100),MIN(F11/6*100,100),MAX(0,100-G11*100*4),IF(C11&gt;=0,100,MAX(0,100+(IF('Monthly Log'!B11=0,0,C11/'Monthly Log'!B11*100)*2)))))</f>
        <v/>
      </c>
      <c r="I11" s="43" t="str">
        <f aca="false">IF('Monthly Log'!B11="","",B11*12*25)</f>
        <v/>
      </c>
      <c r="J11" s="44" t="str">
        <f aca="false">IF('Monthly Log'!B11="","",IF(I11=0,0,('Monthly Log'!L11+'Monthly Log'!M11)/I11))</f>
        <v/>
      </c>
      <c r="K11" s="43" t="str">
        <f aca="false">IF('Monthly Log'!B11="","",'Monthly Log'!C11+'Monthly Log'!D11+'Monthly Log'!E11+'Monthly Log'!F11+'Monthly Log'!P11)</f>
        <v/>
      </c>
      <c r="L11" s="43" t="str">
        <f aca="false">IF('Monthly Log'!B11="","",'Monthly Log'!G11+'Monthly Log'!H11+'Monthly Log'!I11)</f>
        <v/>
      </c>
      <c r="M11" s="43" t="str">
        <f aca="false">IF('Monthly Log'!B11="","",'Monthly Log'!J11+'Monthly Log'!K11)</f>
        <v/>
      </c>
      <c r="N11" s="44" t="str">
        <f aca="false">IF('Monthly Log'!B11="","",IF('Monthly Log'!B11=0,0,K11/'Monthly Log'!B11))</f>
        <v/>
      </c>
      <c r="O11" s="44" t="str">
        <f aca="false">IF('Monthly Log'!B11="","",IF('Monthly Log'!B11=0,0,L11/'Monthly Log'!B11))</f>
        <v/>
      </c>
      <c r="P11" s="44" t="str">
        <f aca="false">IF('Monthly Log'!B11="","",IF('Monthly Log'!B11=0,0,M11/'Monthly Log'!B11))</f>
        <v/>
      </c>
      <c r="Q11" s="43" t="e">
        <f aca="false">IF(D11="",NA(),D11)</f>
        <v>#N/A</v>
      </c>
      <c r="R11" s="44" t="e">
        <f aca="false">IF(E11="",NA(),E11)</f>
        <v>#N/A</v>
      </c>
      <c r="S11" s="43" t="e">
        <f aca="false">IF(C11="",NA(),C11)</f>
        <v>#N/A</v>
      </c>
      <c r="T11" s="44" t="e">
        <f aca="false">IF(J11="",NA(),J11)</f>
        <v>#N/A</v>
      </c>
      <c r="U11" s="45" t="e">
        <f aca="false">IF(H11="",NA(),H11)</f>
        <v>#N/A</v>
      </c>
    </row>
    <row r="12" customFormat="false" ht="15" hidden="false" customHeight="false" outlineLevel="0" collapsed="false">
      <c r="A12" s="43" t="str">
        <f aca="false">IF('Monthly Log'!B12="","",'Monthly Log'!C12+'Monthly Log'!D12+'Monthly Log'!E12+'Monthly Log'!F12+'Monthly Log'!G12+'Monthly Log'!H12)</f>
        <v/>
      </c>
      <c r="B12" s="43" t="str">
        <f aca="false">IF('Monthly Log'!B12="","",A12+'Monthly Log'!I12)</f>
        <v/>
      </c>
      <c r="C12" s="43" t="str">
        <f aca="false">IF('Monthly Log'!B12="","",'Monthly Log'!B12-A12-'Monthly Log'!I12-'Monthly Log'!P12-'Monthly Log'!J12-'Monthly Log'!K12)</f>
        <v/>
      </c>
      <c r="D12" s="43" t="str">
        <f aca="false">IF('Monthly Log'!B12="","",'Monthly Log'!L12+'Monthly Log'!M12+'Monthly Log'!N12-'Monthly Log'!O12)</f>
        <v/>
      </c>
      <c r="E12" s="44" t="str">
        <f aca="false">IF('Monthly Log'!B12="","",IF('Monthly Log'!B12=0,0,('Monthly Log'!J12+'Monthly Log'!K12)/'Monthly Log'!B12))</f>
        <v/>
      </c>
      <c r="F12" s="45" t="str">
        <f aca="false">IF('Monthly Log'!B12="","",IF(B12=0,0,'Monthly Log'!N12/B12))</f>
        <v/>
      </c>
      <c r="G12" s="44" t="str">
        <f aca="false">IF('Monthly Log'!B12="","",IF('Monthly Log'!B12=0,0,'Monthly Log'!P12/'Monthly Log'!B12))</f>
        <v/>
      </c>
      <c r="H12" s="45" t="str">
        <f aca="false">IF('Monthly Log'!B12="","",AVERAGE(MIN(E12*100/20*100,100),MIN(F12/6*100,100),MAX(0,100-G12*100*4),IF(C12&gt;=0,100,MAX(0,100+(IF('Monthly Log'!B12=0,0,C12/'Monthly Log'!B12*100)*2)))))</f>
        <v/>
      </c>
      <c r="I12" s="43" t="str">
        <f aca="false">IF('Monthly Log'!B12="","",B12*12*25)</f>
        <v/>
      </c>
      <c r="J12" s="44" t="str">
        <f aca="false">IF('Monthly Log'!B12="","",IF(I12=0,0,('Monthly Log'!L12+'Monthly Log'!M12)/I12))</f>
        <v/>
      </c>
      <c r="K12" s="43" t="str">
        <f aca="false">IF('Monthly Log'!B12="","",'Monthly Log'!C12+'Monthly Log'!D12+'Monthly Log'!E12+'Monthly Log'!F12+'Monthly Log'!P12)</f>
        <v/>
      </c>
      <c r="L12" s="43" t="str">
        <f aca="false">IF('Monthly Log'!B12="","",'Monthly Log'!G12+'Monthly Log'!H12+'Monthly Log'!I12)</f>
        <v/>
      </c>
      <c r="M12" s="43" t="str">
        <f aca="false">IF('Monthly Log'!B12="","",'Monthly Log'!J12+'Monthly Log'!K12)</f>
        <v/>
      </c>
      <c r="N12" s="44" t="str">
        <f aca="false">IF('Monthly Log'!B12="","",IF('Monthly Log'!B12=0,0,K12/'Monthly Log'!B12))</f>
        <v/>
      </c>
      <c r="O12" s="44" t="str">
        <f aca="false">IF('Monthly Log'!B12="","",IF('Monthly Log'!B12=0,0,L12/'Monthly Log'!B12))</f>
        <v/>
      </c>
      <c r="P12" s="44" t="str">
        <f aca="false">IF('Monthly Log'!B12="","",IF('Monthly Log'!B12=0,0,M12/'Monthly Log'!B12))</f>
        <v/>
      </c>
      <c r="Q12" s="43" t="e">
        <f aca="false">IF(D12="",NA(),D12)</f>
        <v>#N/A</v>
      </c>
      <c r="R12" s="44" t="e">
        <f aca="false">IF(E12="",NA(),E12)</f>
        <v>#N/A</v>
      </c>
      <c r="S12" s="43" t="e">
        <f aca="false">IF(C12="",NA(),C12)</f>
        <v>#N/A</v>
      </c>
      <c r="T12" s="44" t="e">
        <f aca="false">IF(J12="",NA(),J12)</f>
        <v>#N/A</v>
      </c>
      <c r="U12" s="45" t="e">
        <f aca="false">IF(H12="",NA(),H12)</f>
        <v>#N/A</v>
      </c>
    </row>
    <row r="13" customFormat="false" ht="15" hidden="false" customHeight="false" outlineLevel="0" collapsed="false">
      <c r="A13" s="43" t="str">
        <f aca="false">IF('Monthly Log'!B13="","",'Monthly Log'!C13+'Monthly Log'!D13+'Monthly Log'!E13+'Monthly Log'!F13+'Monthly Log'!G13+'Monthly Log'!H13)</f>
        <v/>
      </c>
      <c r="B13" s="43" t="str">
        <f aca="false">IF('Monthly Log'!B13="","",A13+'Monthly Log'!I13)</f>
        <v/>
      </c>
      <c r="C13" s="43" t="str">
        <f aca="false">IF('Monthly Log'!B13="","",'Monthly Log'!B13-A13-'Monthly Log'!I13-'Monthly Log'!P13-'Monthly Log'!J13-'Monthly Log'!K13)</f>
        <v/>
      </c>
      <c r="D13" s="43" t="str">
        <f aca="false">IF('Monthly Log'!B13="","",'Monthly Log'!L13+'Monthly Log'!M13+'Monthly Log'!N13-'Monthly Log'!O13)</f>
        <v/>
      </c>
      <c r="E13" s="44" t="str">
        <f aca="false">IF('Monthly Log'!B13="","",IF('Monthly Log'!B13=0,0,('Monthly Log'!J13+'Monthly Log'!K13)/'Monthly Log'!B13))</f>
        <v/>
      </c>
      <c r="F13" s="45" t="str">
        <f aca="false">IF('Monthly Log'!B13="","",IF(B13=0,0,'Monthly Log'!N13/B13))</f>
        <v/>
      </c>
      <c r="G13" s="44" t="str">
        <f aca="false">IF('Monthly Log'!B13="","",IF('Monthly Log'!B13=0,0,'Monthly Log'!P13/'Monthly Log'!B13))</f>
        <v/>
      </c>
      <c r="H13" s="45" t="str">
        <f aca="false">IF('Monthly Log'!B13="","",AVERAGE(MIN(E13*100/20*100,100),MIN(F13/6*100,100),MAX(0,100-G13*100*4),IF(C13&gt;=0,100,MAX(0,100+(IF('Monthly Log'!B13=0,0,C13/'Monthly Log'!B13*100)*2)))))</f>
        <v/>
      </c>
      <c r="I13" s="43" t="str">
        <f aca="false">IF('Monthly Log'!B13="","",B13*12*25)</f>
        <v/>
      </c>
      <c r="J13" s="44" t="str">
        <f aca="false">IF('Monthly Log'!B13="","",IF(I13=0,0,('Monthly Log'!L13+'Monthly Log'!M13)/I13))</f>
        <v/>
      </c>
      <c r="K13" s="43" t="str">
        <f aca="false">IF('Monthly Log'!B13="","",'Monthly Log'!C13+'Monthly Log'!D13+'Monthly Log'!E13+'Monthly Log'!F13+'Monthly Log'!P13)</f>
        <v/>
      </c>
      <c r="L13" s="43" t="str">
        <f aca="false">IF('Monthly Log'!B13="","",'Monthly Log'!G13+'Monthly Log'!H13+'Monthly Log'!I13)</f>
        <v/>
      </c>
      <c r="M13" s="43" t="str">
        <f aca="false">IF('Monthly Log'!B13="","",'Monthly Log'!J13+'Monthly Log'!K13)</f>
        <v/>
      </c>
      <c r="N13" s="44" t="str">
        <f aca="false">IF('Monthly Log'!B13="","",IF('Monthly Log'!B13=0,0,K13/'Monthly Log'!B13))</f>
        <v/>
      </c>
      <c r="O13" s="44" t="str">
        <f aca="false">IF('Monthly Log'!B13="","",IF('Monthly Log'!B13=0,0,L13/'Monthly Log'!B13))</f>
        <v/>
      </c>
      <c r="P13" s="44" t="str">
        <f aca="false">IF('Monthly Log'!B13="","",IF('Monthly Log'!B13=0,0,M13/'Monthly Log'!B13))</f>
        <v/>
      </c>
      <c r="Q13" s="43" t="e">
        <f aca="false">IF(D13="",NA(),D13)</f>
        <v>#N/A</v>
      </c>
      <c r="R13" s="44" t="e">
        <f aca="false">IF(E13="",NA(),E13)</f>
        <v>#N/A</v>
      </c>
      <c r="S13" s="43" t="e">
        <f aca="false">IF(C13="",NA(),C13)</f>
        <v>#N/A</v>
      </c>
      <c r="T13" s="44" t="e">
        <f aca="false">IF(J13="",NA(),J13)</f>
        <v>#N/A</v>
      </c>
      <c r="U13" s="45" t="e">
        <f aca="false">IF(H13="",NA(),H13)</f>
        <v>#N/A</v>
      </c>
    </row>
    <row r="14" customFormat="false" ht="15" hidden="false" customHeight="false" outlineLevel="0" collapsed="false">
      <c r="A14" s="43" t="str">
        <f aca="false">IF('Monthly Log'!B14="","",'Monthly Log'!C14+'Monthly Log'!D14+'Monthly Log'!E14+'Monthly Log'!F14+'Monthly Log'!G14+'Monthly Log'!H14)</f>
        <v/>
      </c>
      <c r="B14" s="43" t="str">
        <f aca="false">IF('Monthly Log'!B14="","",A14+'Monthly Log'!I14)</f>
        <v/>
      </c>
      <c r="C14" s="43" t="str">
        <f aca="false">IF('Monthly Log'!B14="","",'Monthly Log'!B14-A14-'Monthly Log'!I14-'Monthly Log'!P14-'Monthly Log'!J14-'Monthly Log'!K14)</f>
        <v/>
      </c>
      <c r="D14" s="43" t="str">
        <f aca="false">IF('Monthly Log'!B14="","",'Monthly Log'!L14+'Monthly Log'!M14+'Monthly Log'!N14-'Monthly Log'!O14)</f>
        <v/>
      </c>
      <c r="E14" s="44" t="str">
        <f aca="false">IF('Monthly Log'!B14="","",IF('Monthly Log'!B14=0,0,('Monthly Log'!J14+'Monthly Log'!K14)/'Monthly Log'!B14))</f>
        <v/>
      </c>
      <c r="F14" s="45" t="str">
        <f aca="false">IF('Monthly Log'!B14="","",IF(B14=0,0,'Monthly Log'!N14/B14))</f>
        <v/>
      </c>
      <c r="G14" s="44" t="str">
        <f aca="false">IF('Monthly Log'!B14="","",IF('Monthly Log'!B14=0,0,'Monthly Log'!P14/'Monthly Log'!B14))</f>
        <v/>
      </c>
      <c r="H14" s="45" t="str">
        <f aca="false">IF('Monthly Log'!B14="","",AVERAGE(MIN(E14*100/20*100,100),MIN(F14/6*100,100),MAX(0,100-G14*100*4),IF(C14&gt;=0,100,MAX(0,100+(IF('Monthly Log'!B14=0,0,C14/'Monthly Log'!B14*100)*2)))))</f>
        <v/>
      </c>
      <c r="I14" s="43" t="str">
        <f aca="false">IF('Monthly Log'!B14="","",B14*12*25)</f>
        <v/>
      </c>
      <c r="J14" s="44" t="str">
        <f aca="false">IF('Monthly Log'!B14="","",IF(I14=0,0,('Monthly Log'!L14+'Monthly Log'!M14)/I14))</f>
        <v/>
      </c>
      <c r="K14" s="43" t="str">
        <f aca="false">IF('Monthly Log'!B14="","",'Monthly Log'!C14+'Monthly Log'!D14+'Monthly Log'!E14+'Monthly Log'!F14+'Monthly Log'!P14)</f>
        <v/>
      </c>
      <c r="L14" s="43" t="str">
        <f aca="false">IF('Monthly Log'!B14="","",'Monthly Log'!G14+'Monthly Log'!H14+'Monthly Log'!I14)</f>
        <v/>
      </c>
      <c r="M14" s="43" t="str">
        <f aca="false">IF('Monthly Log'!B14="","",'Monthly Log'!J14+'Monthly Log'!K14)</f>
        <v/>
      </c>
      <c r="N14" s="44" t="str">
        <f aca="false">IF('Monthly Log'!B14="","",IF('Monthly Log'!B14=0,0,K14/'Monthly Log'!B14))</f>
        <v/>
      </c>
      <c r="O14" s="44" t="str">
        <f aca="false">IF('Monthly Log'!B14="","",IF('Monthly Log'!B14=0,0,L14/'Monthly Log'!B14))</f>
        <v/>
      </c>
      <c r="P14" s="44" t="str">
        <f aca="false">IF('Monthly Log'!B14="","",IF('Monthly Log'!B14=0,0,M14/'Monthly Log'!B14))</f>
        <v/>
      </c>
      <c r="Q14" s="43" t="e">
        <f aca="false">IF(D14="",NA(),D14)</f>
        <v>#N/A</v>
      </c>
      <c r="R14" s="44" t="e">
        <f aca="false">IF(E14="",NA(),E14)</f>
        <v>#N/A</v>
      </c>
      <c r="S14" s="43" t="e">
        <f aca="false">IF(C14="",NA(),C14)</f>
        <v>#N/A</v>
      </c>
      <c r="T14" s="44" t="e">
        <f aca="false">IF(J14="",NA(),J14)</f>
        <v>#N/A</v>
      </c>
      <c r="U14" s="45" t="e">
        <f aca="false">IF(H14="",NA(),H14)</f>
        <v>#N/A</v>
      </c>
    </row>
    <row r="15" customFormat="false" ht="15" hidden="false" customHeight="false" outlineLevel="0" collapsed="false">
      <c r="A15" s="43" t="str">
        <f aca="false">IF('Monthly Log'!B15="","",'Monthly Log'!C15+'Monthly Log'!D15+'Monthly Log'!E15+'Monthly Log'!F15+'Monthly Log'!G15+'Monthly Log'!H15)</f>
        <v/>
      </c>
      <c r="B15" s="43" t="str">
        <f aca="false">IF('Monthly Log'!B15="","",A15+'Monthly Log'!I15)</f>
        <v/>
      </c>
      <c r="C15" s="43" t="str">
        <f aca="false">IF('Monthly Log'!B15="","",'Monthly Log'!B15-A15-'Monthly Log'!I15-'Monthly Log'!P15-'Monthly Log'!J15-'Monthly Log'!K15)</f>
        <v/>
      </c>
      <c r="D15" s="43" t="str">
        <f aca="false">IF('Monthly Log'!B15="","",'Monthly Log'!L15+'Monthly Log'!M15+'Monthly Log'!N15-'Monthly Log'!O15)</f>
        <v/>
      </c>
      <c r="E15" s="44" t="str">
        <f aca="false">IF('Monthly Log'!B15="","",IF('Monthly Log'!B15=0,0,('Monthly Log'!J15+'Monthly Log'!K15)/'Monthly Log'!B15))</f>
        <v/>
      </c>
      <c r="F15" s="45" t="str">
        <f aca="false">IF('Monthly Log'!B15="","",IF(B15=0,0,'Monthly Log'!N15/B15))</f>
        <v/>
      </c>
      <c r="G15" s="44" t="str">
        <f aca="false">IF('Monthly Log'!B15="","",IF('Monthly Log'!B15=0,0,'Monthly Log'!P15/'Monthly Log'!B15))</f>
        <v/>
      </c>
      <c r="H15" s="45" t="str">
        <f aca="false">IF('Monthly Log'!B15="","",AVERAGE(MIN(E15*100/20*100,100),MIN(F15/6*100,100),MAX(0,100-G15*100*4),IF(C15&gt;=0,100,MAX(0,100+(IF('Monthly Log'!B15=0,0,C15/'Monthly Log'!B15*100)*2)))))</f>
        <v/>
      </c>
      <c r="I15" s="43" t="str">
        <f aca="false">IF('Monthly Log'!B15="","",B15*12*25)</f>
        <v/>
      </c>
      <c r="J15" s="44" t="str">
        <f aca="false">IF('Monthly Log'!B15="","",IF(I15=0,0,('Monthly Log'!L15+'Monthly Log'!M15)/I15))</f>
        <v/>
      </c>
      <c r="K15" s="43" t="str">
        <f aca="false">IF('Monthly Log'!B15="","",'Monthly Log'!C15+'Monthly Log'!D15+'Monthly Log'!E15+'Monthly Log'!F15+'Monthly Log'!P15)</f>
        <v/>
      </c>
      <c r="L15" s="43" t="str">
        <f aca="false">IF('Monthly Log'!B15="","",'Monthly Log'!G15+'Monthly Log'!H15+'Monthly Log'!I15)</f>
        <v/>
      </c>
      <c r="M15" s="43" t="str">
        <f aca="false">IF('Monthly Log'!B15="","",'Monthly Log'!J15+'Monthly Log'!K15)</f>
        <v/>
      </c>
      <c r="N15" s="44" t="str">
        <f aca="false">IF('Monthly Log'!B15="","",IF('Monthly Log'!B15=0,0,K15/'Monthly Log'!B15))</f>
        <v/>
      </c>
      <c r="O15" s="44" t="str">
        <f aca="false">IF('Monthly Log'!B15="","",IF('Monthly Log'!B15=0,0,L15/'Monthly Log'!B15))</f>
        <v/>
      </c>
      <c r="P15" s="44" t="str">
        <f aca="false">IF('Monthly Log'!B15="","",IF('Monthly Log'!B15=0,0,M15/'Monthly Log'!B15))</f>
        <v/>
      </c>
      <c r="Q15" s="43" t="e">
        <f aca="false">IF(D15="",NA(),D15)</f>
        <v>#N/A</v>
      </c>
      <c r="R15" s="44" t="e">
        <f aca="false">IF(E15="",NA(),E15)</f>
        <v>#N/A</v>
      </c>
      <c r="S15" s="43" t="e">
        <f aca="false">IF(C15="",NA(),C15)</f>
        <v>#N/A</v>
      </c>
      <c r="T15" s="44" t="e">
        <f aca="false">IF(J15="",NA(),J15)</f>
        <v>#N/A</v>
      </c>
      <c r="U15" s="45" t="e">
        <f aca="false">IF(H15="",NA(),H15)</f>
        <v>#N/A</v>
      </c>
    </row>
    <row r="16" customFormat="false" ht="15" hidden="false" customHeight="false" outlineLevel="0" collapsed="false">
      <c r="A16" s="43" t="str">
        <f aca="false">IF('Monthly Log'!B16="","",'Monthly Log'!C16+'Monthly Log'!D16+'Monthly Log'!E16+'Monthly Log'!F16+'Monthly Log'!G16+'Monthly Log'!H16)</f>
        <v/>
      </c>
      <c r="B16" s="43" t="str">
        <f aca="false">IF('Monthly Log'!B16="","",A16+'Monthly Log'!I16)</f>
        <v/>
      </c>
      <c r="C16" s="43" t="str">
        <f aca="false">IF('Monthly Log'!B16="","",'Monthly Log'!B16-A16-'Monthly Log'!I16-'Monthly Log'!P16-'Monthly Log'!J16-'Monthly Log'!K16)</f>
        <v/>
      </c>
      <c r="D16" s="43" t="str">
        <f aca="false">IF('Monthly Log'!B16="","",'Monthly Log'!L16+'Monthly Log'!M16+'Monthly Log'!N16-'Monthly Log'!O16)</f>
        <v/>
      </c>
      <c r="E16" s="44" t="str">
        <f aca="false">IF('Monthly Log'!B16="","",IF('Monthly Log'!B16=0,0,('Monthly Log'!J16+'Monthly Log'!K16)/'Monthly Log'!B16))</f>
        <v/>
      </c>
      <c r="F16" s="45" t="str">
        <f aca="false">IF('Monthly Log'!B16="","",IF(B16=0,0,'Monthly Log'!N16/B16))</f>
        <v/>
      </c>
      <c r="G16" s="44" t="str">
        <f aca="false">IF('Monthly Log'!B16="","",IF('Monthly Log'!B16=0,0,'Monthly Log'!P16/'Monthly Log'!B16))</f>
        <v/>
      </c>
      <c r="H16" s="45" t="str">
        <f aca="false">IF('Monthly Log'!B16="","",AVERAGE(MIN(E16*100/20*100,100),MIN(F16/6*100,100),MAX(0,100-G16*100*4),IF(C16&gt;=0,100,MAX(0,100+(IF('Monthly Log'!B16=0,0,C16/'Monthly Log'!B16*100)*2)))))</f>
        <v/>
      </c>
      <c r="I16" s="43" t="str">
        <f aca="false">IF('Monthly Log'!B16="","",B16*12*25)</f>
        <v/>
      </c>
      <c r="J16" s="44" t="str">
        <f aca="false">IF('Monthly Log'!B16="","",IF(I16=0,0,('Monthly Log'!L16+'Monthly Log'!M16)/I16))</f>
        <v/>
      </c>
      <c r="K16" s="43" t="str">
        <f aca="false">IF('Monthly Log'!B16="","",'Monthly Log'!C16+'Monthly Log'!D16+'Monthly Log'!E16+'Monthly Log'!F16+'Monthly Log'!P16)</f>
        <v/>
      </c>
      <c r="L16" s="43" t="str">
        <f aca="false">IF('Monthly Log'!B16="","",'Monthly Log'!G16+'Monthly Log'!H16+'Monthly Log'!I16)</f>
        <v/>
      </c>
      <c r="M16" s="43" t="str">
        <f aca="false">IF('Monthly Log'!B16="","",'Monthly Log'!J16+'Monthly Log'!K16)</f>
        <v/>
      </c>
      <c r="N16" s="44" t="str">
        <f aca="false">IF('Monthly Log'!B16="","",IF('Monthly Log'!B16=0,0,K16/'Monthly Log'!B16))</f>
        <v/>
      </c>
      <c r="O16" s="44" t="str">
        <f aca="false">IF('Monthly Log'!B16="","",IF('Monthly Log'!B16=0,0,L16/'Monthly Log'!B16))</f>
        <v/>
      </c>
      <c r="P16" s="44" t="str">
        <f aca="false">IF('Monthly Log'!B16="","",IF('Monthly Log'!B16=0,0,M16/'Monthly Log'!B16))</f>
        <v/>
      </c>
      <c r="Q16" s="43" t="e">
        <f aca="false">IF(D16="",NA(),D16)</f>
        <v>#N/A</v>
      </c>
      <c r="R16" s="44" t="e">
        <f aca="false">IF(E16="",NA(),E16)</f>
        <v>#N/A</v>
      </c>
      <c r="S16" s="43" t="e">
        <f aca="false">IF(C16="",NA(),C16)</f>
        <v>#N/A</v>
      </c>
      <c r="T16" s="44" t="e">
        <f aca="false">IF(J16="",NA(),J16)</f>
        <v>#N/A</v>
      </c>
      <c r="U16" s="45" t="e">
        <f aca="false">IF(H16="",NA(),H16)</f>
        <v>#N/A</v>
      </c>
    </row>
    <row r="17" customFormat="false" ht="15" hidden="false" customHeight="false" outlineLevel="0" collapsed="false">
      <c r="A17" s="43" t="str">
        <f aca="false">IF('Monthly Log'!B17="","",'Monthly Log'!C17+'Monthly Log'!D17+'Monthly Log'!E17+'Monthly Log'!F17+'Monthly Log'!G17+'Monthly Log'!H17)</f>
        <v/>
      </c>
      <c r="B17" s="43" t="str">
        <f aca="false">IF('Monthly Log'!B17="","",A17+'Monthly Log'!I17)</f>
        <v/>
      </c>
      <c r="C17" s="43" t="str">
        <f aca="false">IF('Monthly Log'!B17="","",'Monthly Log'!B17-A17-'Monthly Log'!I17-'Monthly Log'!P17-'Monthly Log'!J17-'Monthly Log'!K17)</f>
        <v/>
      </c>
      <c r="D17" s="43" t="str">
        <f aca="false">IF('Monthly Log'!B17="","",'Monthly Log'!L17+'Monthly Log'!M17+'Monthly Log'!N17-'Monthly Log'!O17)</f>
        <v/>
      </c>
      <c r="E17" s="44" t="str">
        <f aca="false">IF('Monthly Log'!B17="","",IF('Monthly Log'!B17=0,0,('Monthly Log'!J17+'Monthly Log'!K17)/'Monthly Log'!B17))</f>
        <v/>
      </c>
      <c r="F17" s="45" t="str">
        <f aca="false">IF('Monthly Log'!B17="","",IF(B17=0,0,'Monthly Log'!N17/B17))</f>
        <v/>
      </c>
      <c r="G17" s="44" t="str">
        <f aca="false">IF('Monthly Log'!B17="","",IF('Monthly Log'!B17=0,0,'Monthly Log'!P17/'Monthly Log'!B17))</f>
        <v/>
      </c>
      <c r="H17" s="45" t="str">
        <f aca="false">IF('Monthly Log'!B17="","",AVERAGE(MIN(E17*100/20*100,100),MIN(F17/6*100,100),MAX(0,100-G17*100*4),IF(C17&gt;=0,100,MAX(0,100+(IF('Monthly Log'!B17=0,0,C17/'Monthly Log'!B17*100)*2)))))</f>
        <v/>
      </c>
      <c r="I17" s="43" t="str">
        <f aca="false">IF('Monthly Log'!B17="","",B17*12*25)</f>
        <v/>
      </c>
      <c r="J17" s="44" t="str">
        <f aca="false">IF('Monthly Log'!B17="","",IF(I17=0,0,('Monthly Log'!L17+'Monthly Log'!M17)/I17))</f>
        <v/>
      </c>
      <c r="K17" s="43" t="str">
        <f aca="false">IF('Monthly Log'!B17="","",'Monthly Log'!C17+'Monthly Log'!D17+'Monthly Log'!E17+'Monthly Log'!F17+'Monthly Log'!P17)</f>
        <v/>
      </c>
      <c r="L17" s="43" t="str">
        <f aca="false">IF('Monthly Log'!B17="","",'Monthly Log'!G17+'Monthly Log'!H17+'Monthly Log'!I17)</f>
        <v/>
      </c>
      <c r="M17" s="43" t="str">
        <f aca="false">IF('Monthly Log'!B17="","",'Monthly Log'!J17+'Monthly Log'!K17)</f>
        <v/>
      </c>
      <c r="N17" s="44" t="str">
        <f aca="false">IF('Monthly Log'!B17="","",IF('Monthly Log'!B17=0,0,K17/'Monthly Log'!B17))</f>
        <v/>
      </c>
      <c r="O17" s="44" t="str">
        <f aca="false">IF('Monthly Log'!B17="","",IF('Monthly Log'!B17=0,0,L17/'Monthly Log'!B17))</f>
        <v/>
      </c>
      <c r="P17" s="44" t="str">
        <f aca="false">IF('Monthly Log'!B17="","",IF('Monthly Log'!B17=0,0,M17/'Monthly Log'!B17))</f>
        <v/>
      </c>
      <c r="Q17" s="43" t="e">
        <f aca="false">IF(D17="",NA(),D17)</f>
        <v>#N/A</v>
      </c>
      <c r="R17" s="44" t="e">
        <f aca="false">IF(E17="",NA(),E17)</f>
        <v>#N/A</v>
      </c>
      <c r="S17" s="43" t="e">
        <f aca="false">IF(C17="",NA(),C17)</f>
        <v>#N/A</v>
      </c>
      <c r="T17" s="44" t="e">
        <f aca="false">IF(J17="",NA(),J17)</f>
        <v>#N/A</v>
      </c>
      <c r="U17" s="45" t="e">
        <f aca="false">IF(H17="",NA(),H17)</f>
        <v>#N/A</v>
      </c>
    </row>
    <row r="18" customFormat="false" ht="15" hidden="false" customHeight="false" outlineLevel="0" collapsed="false">
      <c r="A18" s="43" t="str">
        <f aca="false">IF('Monthly Log'!B18="","",'Monthly Log'!C18+'Monthly Log'!D18+'Monthly Log'!E18+'Monthly Log'!F18+'Monthly Log'!G18+'Monthly Log'!H18)</f>
        <v/>
      </c>
      <c r="B18" s="43" t="str">
        <f aca="false">IF('Monthly Log'!B18="","",A18+'Monthly Log'!I18)</f>
        <v/>
      </c>
      <c r="C18" s="43" t="str">
        <f aca="false">IF('Monthly Log'!B18="","",'Monthly Log'!B18-A18-'Monthly Log'!I18-'Monthly Log'!P18-'Monthly Log'!J18-'Monthly Log'!K18)</f>
        <v/>
      </c>
      <c r="D18" s="43" t="str">
        <f aca="false">IF('Monthly Log'!B18="","",'Monthly Log'!L18+'Monthly Log'!M18+'Monthly Log'!N18-'Monthly Log'!O18)</f>
        <v/>
      </c>
      <c r="E18" s="44" t="str">
        <f aca="false">IF('Monthly Log'!B18="","",IF('Monthly Log'!B18=0,0,('Monthly Log'!J18+'Monthly Log'!K18)/'Monthly Log'!B18))</f>
        <v/>
      </c>
      <c r="F18" s="45" t="str">
        <f aca="false">IF('Monthly Log'!B18="","",IF(B18=0,0,'Monthly Log'!N18/B18))</f>
        <v/>
      </c>
      <c r="G18" s="44" t="str">
        <f aca="false">IF('Monthly Log'!B18="","",IF('Monthly Log'!B18=0,0,'Monthly Log'!P18/'Monthly Log'!B18))</f>
        <v/>
      </c>
      <c r="H18" s="45" t="str">
        <f aca="false">IF('Monthly Log'!B18="","",AVERAGE(MIN(E18*100/20*100,100),MIN(F18/6*100,100),MAX(0,100-G18*100*4),IF(C18&gt;=0,100,MAX(0,100+(IF('Monthly Log'!B18=0,0,C18/'Monthly Log'!B18*100)*2)))))</f>
        <v/>
      </c>
      <c r="I18" s="43" t="str">
        <f aca="false">IF('Monthly Log'!B18="","",B18*12*25)</f>
        <v/>
      </c>
      <c r="J18" s="44" t="str">
        <f aca="false">IF('Monthly Log'!B18="","",IF(I18=0,0,('Monthly Log'!L18+'Monthly Log'!M18)/I18))</f>
        <v/>
      </c>
      <c r="K18" s="43" t="str">
        <f aca="false">IF('Monthly Log'!B18="","",'Monthly Log'!C18+'Monthly Log'!D18+'Monthly Log'!E18+'Monthly Log'!F18+'Monthly Log'!P18)</f>
        <v/>
      </c>
      <c r="L18" s="43" t="str">
        <f aca="false">IF('Monthly Log'!B18="","",'Monthly Log'!G18+'Monthly Log'!H18+'Monthly Log'!I18)</f>
        <v/>
      </c>
      <c r="M18" s="43" t="str">
        <f aca="false">IF('Monthly Log'!B18="","",'Monthly Log'!J18+'Monthly Log'!K18)</f>
        <v/>
      </c>
      <c r="N18" s="44" t="str">
        <f aca="false">IF('Monthly Log'!B18="","",IF('Monthly Log'!B18=0,0,K18/'Monthly Log'!B18))</f>
        <v/>
      </c>
      <c r="O18" s="44" t="str">
        <f aca="false">IF('Monthly Log'!B18="","",IF('Monthly Log'!B18=0,0,L18/'Monthly Log'!B18))</f>
        <v/>
      </c>
      <c r="P18" s="44" t="str">
        <f aca="false">IF('Monthly Log'!B18="","",IF('Monthly Log'!B18=0,0,M18/'Monthly Log'!B18))</f>
        <v/>
      </c>
      <c r="Q18" s="43" t="e">
        <f aca="false">IF(D18="",NA(),D18)</f>
        <v>#N/A</v>
      </c>
      <c r="R18" s="44" t="e">
        <f aca="false">IF(E18="",NA(),E18)</f>
        <v>#N/A</v>
      </c>
      <c r="S18" s="43" t="e">
        <f aca="false">IF(C18="",NA(),C18)</f>
        <v>#N/A</v>
      </c>
      <c r="T18" s="44" t="e">
        <f aca="false">IF(J18="",NA(),J18)</f>
        <v>#N/A</v>
      </c>
      <c r="U18" s="45" t="e">
        <f aca="false">IF(H18="",NA(),H18)</f>
        <v>#N/A</v>
      </c>
    </row>
    <row r="19" customFormat="false" ht="15" hidden="false" customHeight="false" outlineLevel="0" collapsed="false">
      <c r="A19" s="43" t="str">
        <f aca="false">IF('Monthly Log'!B19="","",'Monthly Log'!C19+'Monthly Log'!D19+'Monthly Log'!E19+'Monthly Log'!F19+'Monthly Log'!G19+'Monthly Log'!H19)</f>
        <v/>
      </c>
      <c r="B19" s="43" t="str">
        <f aca="false">IF('Monthly Log'!B19="","",A19+'Monthly Log'!I19)</f>
        <v/>
      </c>
      <c r="C19" s="43" t="str">
        <f aca="false">IF('Monthly Log'!B19="","",'Monthly Log'!B19-A19-'Monthly Log'!I19-'Monthly Log'!P19-'Monthly Log'!J19-'Monthly Log'!K19)</f>
        <v/>
      </c>
      <c r="D19" s="43" t="str">
        <f aca="false">IF('Monthly Log'!B19="","",'Monthly Log'!L19+'Monthly Log'!M19+'Monthly Log'!N19-'Monthly Log'!O19)</f>
        <v/>
      </c>
      <c r="E19" s="44" t="str">
        <f aca="false">IF('Monthly Log'!B19="","",IF('Monthly Log'!B19=0,0,('Monthly Log'!J19+'Monthly Log'!K19)/'Monthly Log'!B19))</f>
        <v/>
      </c>
      <c r="F19" s="45" t="str">
        <f aca="false">IF('Monthly Log'!B19="","",IF(B19=0,0,'Monthly Log'!N19/B19))</f>
        <v/>
      </c>
      <c r="G19" s="44" t="str">
        <f aca="false">IF('Monthly Log'!B19="","",IF('Monthly Log'!B19=0,0,'Monthly Log'!P19/'Monthly Log'!B19))</f>
        <v/>
      </c>
      <c r="H19" s="45" t="str">
        <f aca="false">IF('Monthly Log'!B19="","",AVERAGE(MIN(E19*100/20*100,100),MIN(F19/6*100,100),MAX(0,100-G19*100*4),IF(C19&gt;=0,100,MAX(0,100+(IF('Monthly Log'!B19=0,0,C19/'Monthly Log'!B19*100)*2)))))</f>
        <v/>
      </c>
      <c r="I19" s="43" t="str">
        <f aca="false">IF('Monthly Log'!B19="","",B19*12*25)</f>
        <v/>
      </c>
      <c r="J19" s="44" t="str">
        <f aca="false">IF('Monthly Log'!B19="","",IF(I19=0,0,('Monthly Log'!L19+'Monthly Log'!M19)/I19))</f>
        <v/>
      </c>
      <c r="K19" s="43" t="str">
        <f aca="false">IF('Monthly Log'!B19="","",'Monthly Log'!C19+'Monthly Log'!D19+'Monthly Log'!E19+'Monthly Log'!F19+'Monthly Log'!P19)</f>
        <v/>
      </c>
      <c r="L19" s="43" t="str">
        <f aca="false">IF('Monthly Log'!B19="","",'Monthly Log'!G19+'Monthly Log'!H19+'Monthly Log'!I19)</f>
        <v/>
      </c>
      <c r="M19" s="43" t="str">
        <f aca="false">IF('Monthly Log'!B19="","",'Monthly Log'!J19+'Monthly Log'!K19)</f>
        <v/>
      </c>
      <c r="N19" s="44" t="str">
        <f aca="false">IF('Monthly Log'!B19="","",IF('Monthly Log'!B19=0,0,K19/'Monthly Log'!B19))</f>
        <v/>
      </c>
      <c r="O19" s="44" t="str">
        <f aca="false">IF('Monthly Log'!B19="","",IF('Monthly Log'!B19=0,0,L19/'Monthly Log'!B19))</f>
        <v/>
      </c>
      <c r="P19" s="44" t="str">
        <f aca="false">IF('Monthly Log'!B19="","",IF('Monthly Log'!B19=0,0,M19/'Monthly Log'!B19))</f>
        <v/>
      </c>
      <c r="Q19" s="43" t="e">
        <f aca="false">IF(D19="",NA(),D19)</f>
        <v>#N/A</v>
      </c>
      <c r="R19" s="44" t="e">
        <f aca="false">IF(E19="",NA(),E19)</f>
        <v>#N/A</v>
      </c>
      <c r="S19" s="43" t="e">
        <f aca="false">IF(C19="",NA(),C19)</f>
        <v>#N/A</v>
      </c>
      <c r="T19" s="44" t="e">
        <f aca="false">IF(J19="",NA(),J19)</f>
        <v>#N/A</v>
      </c>
      <c r="U19" s="45" t="e">
        <f aca="false">IF(H19="",NA(),H19)</f>
        <v>#N/A</v>
      </c>
    </row>
    <row r="20" customFormat="false" ht="15" hidden="false" customHeight="false" outlineLevel="0" collapsed="false">
      <c r="A20" s="43" t="str">
        <f aca="false">IF('Monthly Log'!B20="","",'Monthly Log'!C20+'Monthly Log'!D20+'Monthly Log'!E20+'Monthly Log'!F20+'Monthly Log'!G20+'Monthly Log'!H20)</f>
        <v/>
      </c>
      <c r="B20" s="43" t="str">
        <f aca="false">IF('Monthly Log'!B20="","",A20+'Monthly Log'!I20)</f>
        <v/>
      </c>
      <c r="C20" s="43" t="str">
        <f aca="false">IF('Monthly Log'!B20="","",'Monthly Log'!B20-A20-'Monthly Log'!I20-'Monthly Log'!P20-'Monthly Log'!J20-'Monthly Log'!K20)</f>
        <v/>
      </c>
      <c r="D20" s="43" t="str">
        <f aca="false">IF('Monthly Log'!B20="","",'Monthly Log'!L20+'Monthly Log'!M20+'Monthly Log'!N20-'Monthly Log'!O20)</f>
        <v/>
      </c>
      <c r="E20" s="44" t="str">
        <f aca="false">IF('Monthly Log'!B20="","",IF('Monthly Log'!B20=0,0,('Monthly Log'!J20+'Monthly Log'!K20)/'Monthly Log'!B20))</f>
        <v/>
      </c>
      <c r="F20" s="45" t="str">
        <f aca="false">IF('Monthly Log'!B20="","",IF(B20=0,0,'Monthly Log'!N20/B20))</f>
        <v/>
      </c>
      <c r="G20" s="44" t="str">
        <f aca="false">IF('Monthly Log'!B20="","",IF('Monthly Log'!B20=0,0,'Monthly Log'!P20/'Monthly Log'!B20))</f>
        <v/>
      </c>
      <c r="H20" s="45" t="str">
        <f aca="false">IF('Monthly Log'!B20="","",AVERAGE(MIN(E20*100/20*100,100),MIN(F20/6*100,100),MAX(0,100-G20*100*4),IF(C20&gt;=0,100,MAX(0,100+(IF('Monthly Log'!B20=0,0,C20/'Monthly Log'!B20*100)*2)))))</f>
        <v/>
      </c>
      <c r="I20" s="43" t="str">
        <f aca="false">IF('Monthly Log'!B20="","",B20*12*25)</f>
        <v/>
      </c>
      <c r="J20" s="44" t="str">
        <f aca="false">IF('Monthly Log'!B20="","",IF(I20=0,0,('Monthly Log'!L20+'Monthly Log'!M20)/I20))</f>
        <v/>
      </c>
      <c r="K20" s="43" t="str">
        <f aca="false">IF('Monthly Log'!B20="","",'Monthly Log'!C20+'Monthly Log'!D20+'Monthly Log'!E20+'Monthly Log'!F20+'Monthly Log'!P20)</f>
        <v/>
      </c>
      <c r="L20" s="43" t="str">
        <f aca="false">IF('Monthly Log'!B20="","",'Monthly Log'!G20+'Monthly Log'!H20+'Monthly Log'!I20)</f>
        <v/>
      </c>
      <c r="M20" s="43" t="str">
        <f aca="false">IF('Monthly Log'!B20="","",'Monthly Log'!J20+'Monthly Log'!K20)</f>
        <v/>
      </c>
      <c r="N20" s="44" t="str">
        <f aca="false">IF('Monthly Log'!B20="","",IF('Monthly Log'!B20=0,0,K20/'Monthly Log'!B20))</f>
        <v/>
      </c>
      <c r="O20" s="44" t="str">
        <f aca="false">IF('Monthly Log'!B20="","",IF('Monthly Log'!B20=0,0,L20/'Monthly Log'!B20))</f>
        <v/>
      </c>
      <c r="P20" s="44" t="str">
        <f aca="false">IF('Monthly Log'!B20="","",IF('Monthly Log'!B20=0,0,M20/'Monthly Log'!B20))</f>
        <v/>
      </c>
      <c r="Q20" s="43" t="e">
        <f aca="false">IF(D20="",NA(),D20)</f>
        <v>#N/A</v>
      </c>
      <c r="R20" s="44" t="e">
        <f aca="false">IF(E20="",NA(),E20)</f>
        <v>#N/A</v>
      </c>
      <c r="S20" s="43" t="e">
        <f aca="false">IF(C20="",NA(),C20)</f>
        <v>#N/A</v>
      </c>
      <c r="T20" s="44" t="e">
        <f aca="false">IF(J20="",NA(),J20)</f>
        <v>#N/A</v>
      </c>
      <c r="U20" s="45" t="e">
        <f aca="false">IF(H20="",NA(),H20)</f>
        <v>#N/A</v>
      </c>
    </row>
    <row r="21" customFormat="false" ht="15" hidden="false" customHeight="false" outlineLevel="0" collapsed="false">
      <c r="A21" s="43" t="str">
        <f aca="false">IF('Monthly Log'!B21="","",'Monthly Log'!C21+'Monthly Log'!D21+'Monthly Log'!E21+'Monthly Log'!F21+'Monthly Log'!G21+'Monthly Log'!H21)</f>
        <v/>
      </c>
      <c r="B21" s="43" t="str">
        <f aca="false">IF('Monthly Log'!B21="","",A21+'Monthly Log'!I21)</f>
        <v/>
      </c>
      <c r="C21" s="43" t="str">
        <f aca="false">IF('Monthly Log'!B21="","",'Monthly Log'!B21-A21-'Monthly Log'!I21-'Monthly Log'!P21-'Monthly Log'!J21-'Monthly Log'!K21)</f>
        <v/>
      </c>
      <c r="D21" s="43" t="str">
        <f aca="false">IF('Monthly Log'!B21="","",'Monthly Log'!L21+'Monthly Log'!M21+'Monthly Log'!N21-'Monthly Log'!O21)</f>
        <v/>
      </c>
      <c r="E21" s="44" t="str">
        <f aca="false">IF('Monthly Log'!B21="","",IF('Monthly Log'!B21=0,0,('Monthly Log'!J21+'Monthly Log'!K21)/'Monthly Log'!B21))</f>
        <v/>
      </c>
      <c r="F21" s="45" t="str">
        <f aca="false">IF('Monthly Log'!B21="","",IF(B21=0,0,'Monthly Log'!N21/B21))</f>
        <v/>
      </c>
      <c r="G21" s="44" t="str">
        <f aca="false">IF('Monthly Log'!B21="","",IF('Monthly Log'!B21=0,0,'Monthly Log'!P21/'Monthly Log'!B21))</f>
        <v/>
      </c>
      <c r="H21" s="45" t="str">
        <f aca="false">IF('Monthly Log'!B21="","",AVERAGE(MIN(E21*100/20*100,100),MIN(F21/6*100,100),MAX(0,100-G21*100*4),IF(C21&gt;=0,100,MAX(0,100+(IF('Monthly Log'!B21=0,0,C21/'Monthly Log'!B21*100)*2)))))</f>
        <v/>
      </c>
      <c r="I21" s="43" t="str">
        <f aca="false">IF('Monthly Log'!B21="","",B21*12*25)</f>
        <v/>
      </c>
      <c r="J21" s="44" t="str">
        <f aca="false">IF('Monthly Log'!B21="","",IF(I21=0,0,('Monthly Log'!L21+'Monthly Log'!M21)/I21))</f>
        <v/>
      </c>
      <c r="K21" s="43" t="str">
        <f aca="false">IF('Monthly Log'!B21="","",'Monthly Log'!C21+'Monthly Log'!D21+'Monthly Log'!E21+'Monthly Log'!F21+'Monthly Log'!P21)</f>
        <v/>
      </c>
      <c r="L21" s="43" t="str">
        <f aca="false">IF('Monthly Log'!B21="","",'Monthly Log'!G21+'Monthly Log'!H21+'Monthly Log'!I21)</f>
        <v/>
      </c>
      <c r="M21" s="43" t="str">
        <f aca="false">IF('Monthly Log'!B21="","",'Monthly Log'!J21+'Monthly Log'!K21)</f>
        <v/>
      </c>
      <c r="N21" s="44" t="str">
        <f aca="false">IF('Monthly Log'!B21="","",IF('Monthly Log'!B21=0,0,K21/'Monthly Log'!B21))</f>
        <v/>
      </c>
      <c r="O21" s="44" t="str">
        <f aca="false">IF('Monthly Log'!B21="","",IF('Monthly Log'!B21=0,0,L21/'Monthly Log'!B21))</f>
        <v/>
      </c>
      <c r="P21" s="44" t="str">
        <f aca="false">IF('Monthly Log'!B21="","",IF('Monthly Log'!B21=0,0,M21/'Monthly Log'!B21))</f>
        <v/>
      </c>
      <c r="Q21" s="43" t="e">
        <f aca="false">IF(D21="",NA(),D21)</f>
        <v>#N/A</v>
      </c>
      <c r="R21" s="44" t="e">
        <f aca="false">IF(E21="",NA(),E21)</f>
        <v>#N/A</v>
      </c>
      <c r="S21" s="43" t="e">
        <f aca="false">IF(C21="",NA(),C21)</f>
        <v>#N/A</v>
      </c>
      <c r="T21" s="44" t="e">
        <f aca="false">IF(J21="",NA(),J21)</f>
        <v>#N/A</v>
      </c>
      <c r="U21" s="45" t="e">
        <f aca="false">IF(H21="",NA(),H21)</f>
        <v>#N/A</v>
      </c>
    </row>
    <row r="22" customFormat="false" ht="15" hidden="false" customHeight="false" outlineLevel="0" collapsed="false">
      <c r="A22" s="43" t="str">
        <f aca="false">IF('Monthly Log'!B22="","",'Monthly Log'!C22+'Monthly Log'!D22+'Monthly Log'!E22+'Monthly Log'!F22+'Monthly Log'!G22+'Monthly Log'!H22)</f>
        <v/>
      </c>
      <c r="B22" s="43" t="str">
        <f aca="false">IF('Monthly Log'!B22="","",A22+'Monthly Log'!I22)</f>
        <v/>
      </c>
      <c r="C22" s="43" t="str">
        <f aca="false">IF('Monthly Log'!B22="","",'Monthly Log'!B22-A22-'Monthly Log'!I22-'Monthly Log'!P22-'Monthly Log'!J22-'Monthly Log'!K22)</f>
        <v/>
      </c>
      <c r="D22" s="43" t="str">
        <f aca="false">IF('Monthly Log'!B22="","",'Monthly Log'!L22+'Monthly Log'!M22+'Monthly Log'!N22-'Monthly Log'!O22)</f>
        <v/>
      </c>
      <c r="E22" s="44" t="str">
        <f aca="false">IF('Monthly Log'!B22="","",IF('Monthly Log'!B22=0,0,('Monthly Log'!J22+'Monthly Log'!K22)/'Monthly Log'!B22))</f>
        <v/>
      </c>
      <c r="F22" s="45" t="str">
        <f aca="false">IF('Monthly Log'!B22="","",IF(B22=0,0,'Monthly Log'!N22/B22))</f>
        <v/>
      </c>
      <c r="G22" s="44" t="str">
        <f aca="false">IF('Monthly Log'!B22="","",IF('Monthly Log'!B22=0,0,'Monthly Log'!P22/'Monthly Log'!B22))</f>
        <v/>
      </c>
      <c r="H22" s="45" t="str">
        <f aca="false">IF('Monthly Log'!B22="","",AVERAGE(MIN(E22*100/20*100,100),MIN(F22/6*100,100),MAX(0,100-G22*100*4),IF(C22&gt;=0,100,MAX(0,100+(IF('Monthly Log'!B22=0,0,C22/'Monthly Log'!B22*100)*2)))))</f>
        <v/>
      </c>
      <c r="I22" s="43" t="str">
        <f aca="false">IF('Monthly Log'!B22="","",B22*12*25)</f>
        <v/>
      </c>
      <c r="J22" s="44" t="str">
        <f aca="false">IF('Monthly Log'!B22="","",IF(I22=0,0,('Monthly Log'!L22+'Monthly Log'!M22)/I22))</f>
        <v/>
      </c>
      <c r="K22" s="43" t="str">
        <f aca="false">IF('Monthly Log'!B22="","",'Monthly Log'!C22+'Monthly Log'!D22+'Monthly Log'!E22+'Monthly Log'!F22+'Monthly Log'!P22)</f>
        <v/>
      </c>
      <c r="L22" s="43" t="str">
        <f aca="false">IF('Monthly Log'!B22="","",'Monthly Log'!G22+'Monthly Log'!H22+'Monthly Log'!I22)</f>
        <v/>
      </c>
      <c r="M22" s="43" t="str">
        <f aca="false">IF('Monthly Log'!B22="","",'Monthly Log'!J22+'Monthly Log'!K22)</f>
        <v/>
      </c>
      <c r="N22" s="44" t="str">
        <f aca="false">IF('Monthly Log'!B22="","",IF('Monthly Log'!B22=0,0,K22/'Monthly Log'!B22))</f>
        <v/>
      </c>
      <c r="O22" s="44" t="str">
        <f aca="false">IF('Monthly Log'!B22="","",IF('Monthly Log'!B22=0,0,L22/'Monthly Log'!B22))</f>
        <v/>
      </c>
      <c r="P22" s="44" t="str">
        <f aca="false">IF('Monthly Log'!B22="","",IF('Monthly Log'!B22=0,0,M22/'Monthly Log'!B22))</f>
        <v/>
      </c>
      <c r="Q22" s="43" t="e">
        <f aca="false">IF(D22="",NA(),D22)</f>
        <v>#N/A</v>
      </c>
      <c r="R22" s="44" t="e">
        <f aca="false">IF(E22="",NA(),E22)</f>
        <v>#N/A</v>
      </c>
      <c r="S22" s="43" t="e">
        <f aca="false">IF(C22="",NA(),C22)</f>
        <v>#N/A</v>
      </c>
      <c r="T22" s="44" t="e">
        <f aca="false">IF(J22="",NA(),J22)</f>
        <v>#N/A</v>
      </c>
      <c r="U22" s="45" t="e">
        <f aca="false">IF(H22="",NA(),H22)</f>
        <v>#N/A</v>
      </c>
    </row>
    <row r="23" customFormat="false" ht="15" hidden="false" customHeight="false" outlineLevel="0" collapsed="false">
      <c r="A23" s="43" t="str">
        <f aca="false">IF('Monthly Log'!B23="","",'Monthly Log'!C23+'Monthly Log'!D23+'Monthly Log'!E23+'Monthly Log'!F23+'Monthly Log'!G23+'Monthly Log'!H23)</f>
        <v/>
      </c>
      <c r="B23" s="43" t="str">
        <f aca="false">IF('Monthly Log'!B23="","",A23+'Monthly Log'!I23)</f>
        <v/>
      </c>
      <c r="C23" s="43" t="str">
        <f aca="false">IF('Monthly Log'!B23="","",'Monthly Log'!B23-A23-'Monthly Log'!I23-'Monthly Log'!P23-'Monthly Log'!J23-'Monthly Log'!K23)</f>
        <v/>
      </c>
      <c r="D23" s="43" t="str">
        <f aca="false">IF('Monthly Log'!B23="","",'Monthly Log'!L23+'Monthly Log'!M23+'Monthly Log'!N23-'Monthly Log'!O23)</f>
        <v/>
      </c>
      <c r="E23" s="44" t="str">
        <f aca="false">IF('Monthly Log'!B23="","",IF('Monthly Log'!B23=0,0,('Monthly Log'!J23+'Monthly Log'!K23)/'Monthly Log'!B23))</f>
        <v/>
      </c>
      <c r="F23" s="45" t="str">
        <f aca="false">IF('Monthly Log'!B23="","",IF(B23=0,0,'Monthly Log'!N23/B23))</f>
        <v/>
      </c>
      <c r="G23" s="44" t="str">
        <f aca="false">IF('Monthly Log'!B23="","",IF('Monthly Log'!B23=0,0,'Monthly Log'!P23/'Monthly Log'!B23))</f>
        <v/>
      </c>
      <c r="H23" s="45" t="str">
        <f aca="false">IF('Monthly Log'!B23="","",AVERAGE(MIN(E23*100/20*100,100),MIN(F23/6*100,100),MAX(0,100-G23*100*4),IF(C23&gt;=0,100,MAX(0,100+(IF('Monthly Log'!B23=0,0,C23/'Monthly Log'!B23*100)*2)))))</f>
        <v/>
      </c>
      <c r="I23" s="43" t="str">
        <f aca="false">IF('Monthly Log'!B23="","",B23*12*25)</f>
        <v/>
      </c>
      <c r="J23" s="44" t="str">
        <f aca="false">IF('Monthly Log'!B23="","",IF(I23=0,0,('Monthly Log'!L23+'Monthly Log'!M23)/I23))</f>
        <v/>
      </c>
      <c r="K23" s="43" t="str">
        <f aca="false">IF('Monthly Log'!B23="","",'Monthly Log'!C23+'Monthly Log'!D23+'Monthly Log'!E23+'Monthly Log'!F23+'Monthly Log'!P23)</f>
        <v/>
      </c>
      <c r="L23" s="43" t="str">
        <f aca="false">IF('Monthly Log'!B23="","",'Monthly Log'!G23+'Monthly Log'!H23+'Monthly Log'!I23)</f>
        <v/>
      </c>
      <c r="M23" s="43" t="str">
        <f aca="false">IF('Monthly Log'!B23="","",'Monthly Log'!J23+'Monthly Log'!K23)</f>
        <v/>
      </c>
      <c r="N23" s="44" t="str">
        <f aca="false">IF('Monthly Log'!B23="","",IF('Monthly Log'!B23=0,0,K23/'Monthly Log'!B23))</f>
        <v/>
      </c>
      <c r="O23" s="44" t="str">
        <f aca="false">IF('Monthly Log'!B23="","",IF('Monthly Log'!B23=0,0,L23/'Monthly Log'!B23))</f>
        <v/>
      </c>
      <c r="P23" s="44" t="str">
        <f aca="false">IF('Monthly Log'!B23="","",IF('Monthly Log'!B23=0,0,M23/'Monthly Log'!B23))</f>
        <v/>
      </c>
      <c r="Q23" s="43" t="e">
        <f aca="false">IF(D23="",NA(),D23)</f>
        <v>#N/A</v>
      </c>
      <c r="R23" s="44" t="e">
        <f aca="false">IF(E23="",NA(),E23)</f>
        <v>#N/A</v>
      </c>
      <c r="S23" s="43" t="e">
        <f aca="false">IF(C23="",NA(),C23)</f>
        <v>#N/A</v>
      </c>
      <c r="T23" s="44" t="e">
        <f aca="false">IF(J23="",NA(),J23)</f>
        <v>#N/A</v>
      </c>
      <c r="U23" s="45" t="e">
        <f aca="false">IF(H23="",NA(),H23)</f>
        <v>#N/A</v>
      </c>
    </row>
    <row r="24" customFormat="false" ht="15" hidden="false" customHeight="false" outlineLevel="0" collapsed="false">
      <c r="A24" s="43" t="str">
        <f aca="false">IF('Monthly Log'!B24="","",'Monthly Log'!C24+'Monthly Log'!D24+'Monthly Log'!E24+'Monthly Log'!F24+'Monthly Log'!G24+'Monthly Log'!H24)</f>
        <v/>
      </c>
      <c r="B24" s="43" t="str">
        <f aca="false">IF('Monthly Log'!B24="","",A24+'Monthly Log'!I24)</f>
        <v/>
      </c>
      <c r="C24" s="43" t="str">
        <f aca="false">IF('Monthly Log'!B24="","",'Monthly Log'!B24-A24-'Monthly Log'!I24-'Monthly Log'!P24-'Monthly Log'!J24-'Monthly Log'!K24)</f>
        <v/>
      </c>
      <c r="D24" s="43" t="str">
        <f aca="false">IF('Monthly Log'!B24="","",'Monthly Log'!L24+'Monthly Log'!M24+'Monthly Log'!N24-'Monthly Log'!O24)</f>
        <v/>
      </c>
      <c r="E24" s="44" t="str">
        <f aca="false">IF('Monthly Log'!B24="","",IF('Monthly Log'!B24=0,0,('Monthly Log'!J24+'Monthly Log'!K24)/'Monthly Log'!B24))</f>
        <v/>
      </c>
      <c r="F24" s="45" t="str">
        <f aca="false">IF('Monthly Log'!B24="","",IF(B24=0,0,'Monthly Log'!N24/B24))</f>
        <v/>
      </c>
      <c r="G24" s="44" t="str">
        <f aca="false">IF('Monthly Log'!B24="","",IF('Monthly Log'!B24=0,0,'Monthly Log'!P24/'Monthly Log'!B24))</f>
        <v/>
      </c>
      <c r="H24" s="45" t="str">
        <f aca="false">IF('Monthly Log'!B24="","",AVERAGE(MIN(E24*100/20*100,100),MIN(F24/6*100,100),MAX(0,100-G24*100*4),IF(C24&gt;=0,100,MAX(0,100+(IF('Monthly Log'!B24=0,0,C24/'Monthly Log'!B24*100)*2)))))</f>
        <v/>
      </c>
      <c r="I24" s="43" t="str">
        <f aca="false">IF('Monthly Log'!B24="","",B24*12*25)</f>
        <v/>
      </c>
      <c r="J24" s="44" t="str">
        <f aca="false">IF('Monthly Log'!B24="","",IF(I24=0,0,('Monthly Log'!L24+'Monthly Log'!M24)/I24))</f>
        <v/>
      </c>
      <c r="K24" s="43" t="str">
        <f aca="false">IF('Monthly Log'!B24="","",'Monthly Log'!C24+'Monthly Log'!D24+'Monthly Log'!E24+'Monthly Log'!F24+'Monthly Log'!P24)</f>
        <v/>
      </c>
      <c r="L24" s="43" t="str">
        <f aca="false">IF('Monthly Log'!B24="","",'Monthly Log'!G24+'Monthly Log'!H24+'Monthly Log'!I24)</f>
        <v/>
      </c>
      <c r="M24" s="43" t="str">
        <f aca="false">IF('Monthly Log'!B24="","",'Monthly Log'!J24+'Monthly Log'!K24)</f>
        <v/>
      </c>
      <c r="N24" s="44" t="str">
        <f aca="false">IF('Monthly Log'!B24="","",IF('Monthly Log'!B24=0,0,K24/'Monthly Log'!B24))</f>
        <v/>
      </c>
      <c r="O24" s="44" t="str">
        <f aca="false">IF('Monthly Log'!B24="","",IF('Monthly Log'!B24=0,0,L24/'Monthly Log'!B24))</f>
        <v/>
      </c>
      <c r="P24" s="44" t="str">
        <f aca="false">IF('Monthly Log'!B24="","",IF('Monthly Log'!B24=0,0,M24/'Monthly Log'!B24))</f>
        <v/>
      </c>
      <c r="Q24" s="43" t="e">
        <f aca="false">IF(D24="",NA(),D24)</f>
        <v>#N/A</v>
      </c>
      <c r="R24" s="44" t="e">
        <f aca="false">IF(E24="",NA(),E24)</f>
        <v>#N/A</v>
      </c>
      <c r="S24" s="43" t="e">
        <f aca="false">IF(C24="",NA(),C24)</f>
        <v>#N/A</v>
      </c>
      <c r="T24" s="44" t="e">
        <f aca="false">IF(J24="",NA(),J24)</f>
        <v>#N/A</v>
      </c>
      <c r="U24" s="45" t="e">
        <f aca="false">IF(H24="",NA(),H24)</f>
        <v>#N/A</v>
      </c>
    </row>
    <row r="25" customFormat="false" ht="15" hidden="false" customHeight="false" outlineLevel="0" collapsed="false">
      <c r="A25" s="43" t="str">
        <f aca="false">IF('Monthly Log'!B25="","",'Monthly Log'!C25+'Monthly Log'!D25+'Monthly Log'!E25+'Monthly Log'!F25+'Monthly Log'!G25+'Monthly Log'!H25)</f>
        <v/>
      </c>
      <c r="B25" s="43" t="str">
        <f aca="false">IF('Monthly Log'!B25="","",A25+'Monthly Log'!I25)</f>
        <v/>
      </c>
      <c r="C25" s="43" t="str">
        <f aca="false">IF('Monthly Log'!B25="","",'Monthly Log'!B25-A25-'Monthly Log'!I25-'Monthly Log'!P25-'Monthly Log'!J25-'Monthly Log'!K25)</f>
        <v/>
      </c>
      <c r="D25" s="43" t="str">
        <f aca="false">IF('Monthly Log'!B25="","",'Monthly Log'!L25+'Monthly Log'!M25+'Monthly Log'!N25-'Monthly Log'!O25)</f>
        <v/>
      </c>
      <c r="E25" s="44" t="str">
        <f aca="false">IF('Monthly Log'!B25="","",IF('Monthly Log'!B25=0,0,('Monthly Log'!J25+'Monthly Log'!K25)/'Monthly Log'!B25))</f>
        <v/>
      </c>
      <c r="F25" s="45" t="str">
        <f aca="false">IF('Monthly Log'!B25="","",IF(B25=0,0,'Monthly Log'!N25/B25))</f>
        <v/>
      </c>
      <c r="G25" s="44" t="str">
        <f aca="false">IF('Monthly Log'!B25="","",IF('Monthly Log'!B25=0,0,'Monthly Log'!P25/'Monthly Log'!B25))</f>
        <v/>
      </c>
      <c r="H25" s="45" t="str">
        <f aca="false">IF('Monthly Log'!B25="","",AVERAGE(MIN(E25*100/20*100,100),MIN(F25/6*100,100),MAX(0,100-G25*100*4),IF(C25&gt;=0,100,MAX(0,100+(IF('Monthly Log'!B25=0,0,C25/'Monthly Log'!B25*100)*2)))))</f>
        <v/>
      </c>
      <c r="I25" s="43" t="str">
        <f aca="false">IF('Monthly Log'!B25="","",B25*12*25)</f>
        <v/>
      </c>
      <c r="J25" s="44" t="str">
        <f aca="false">IF('Monthly Log'!B25="","",IF(I25=0,0,('Monthly Log'!L25+'Monthly Log'!M25)/I25))</f>
        <v/>
      </c>
      <c r="K25" s="43" t="str">
        <f aca="false">IF('Monthly Log'!B25="","",'Monthly Log'!C25+'Monthly Log'!D25+'Monthly Log'!E25+'Monthly Log'!F25+'Monthly Log'!P25)</f>
        <v/>
      </c>
      <c r="L25" s="43" t="str">
        <f aca="false">IF('Monthly Log'!B25="","",'Monthly Log'!G25+'Monthly Log'!H25+'Monthly Log'!I25)</f>
        <v/>
      </c>
      <c r="M25" s="43" t="str">
        <f aca="false">IF('Monthly Log'!B25="","",'Monthly Log'!J25+'Monthly Log'!K25)</f>
        <v/>
      </c>
      <c r="N25" s="44" t="str">
        <f aca="false">IF('Monthly Log'!B25="","",IF('Monthly Log'!B25=0,0,K25/'Monthly Log'!B25))</f>
        <v/>
      </c>
      <c r="O25" s="44" t="str">
        <f aca="false">IF('Monthly Log'!B25="","",IF('Monthly Log'!B25=0,0,L25/'Monthly Log'!B25))</f>
        <v/>
      </c>
      <c r="P25" s="44" t="str">
        <f aca="false">IF('Monthly Log'!B25="","",IF('Monthly Log'!B25=0,0,M25/'Monthly Log'!B25))</f>
        <v/>
      </c>
      <c r="Q25" s="43" t="e">
        <f aca="false">IF(D25="",NA(),D25)</f>
        <v>#N/A</v>
      </c>
      <c r="R25" s="44" t="e">
        <f aca="false">IF(E25="",NA(),E25)</f>
        <v>#N/A</v>
      </c>
      <c r="S25" s="43" t="e">
        <f aca="false">IF(C25="",NA(),C25)</f>
        <v>#N/A</v>
      </c>
      <c r="T25" s="44" t="e">
        <f aca="false">IF(J25="",NA(),J25)</f>
        <v>#N/A</v>
      </c>
      <c r="U25" s="45" t="e">
        <f aca="false">IF(H25="",NA(),H25)</f>
        <v>#N/A</v>
      </c>
    </row>
    <row r="26" customFormat="false" ht="15" hidden="false" customHeight="false" outlineLevel="0" collapsed="false">
      <c r="A26" s="43" t="str">
        <f aca="false">IF('Monthly Log'!B26="","",'Monthly Log'!C26+'Monthly Log'!D26+'Monthly Log'!E26+'Monthly Log'!F26+'Monthly Log'!G26+'Monthly Log'!H26)</f>
        <v/>
      </c>
      <c r="B26" s="43" t="str">
        <f aca="false">IF('Monthly Log'!B26="","",A26+'Monthly Log'!I26)</f>
        <v/>
      </c>
      <c r="C26" s="43" t="str">
        <f aca="false">IF('Monthly Log'!B26="","",'Monthly Log'!B26-A26-'Monthly Log'!I26-'Monthly Log'!P26-'Monthly Log'!J26-'Monthly Log'!K26)</f>
        <v/>
      </c>
      <c r="D26" s="43" t="str">
        <f aca="false">IF('Monthly Log'!B26="","",'Monthly Log'!L26+'Monthly Log'!M26+'Monthly Log'!N26-'Monthly Log'!O26)</f>
        <v/>
      </c>
      <c r="E26" s="44" t="str">
        <f aca="false">IF('Monthly Log'!B26="","",IF('Monthly Log'!B26=0,0,('Monthly Log'!J26+'Monthly Log'!K26)/'Monthly Log'!B26))</f>
        <v/>
      </c>
      <c r="F26" s="45" t="str">
        <f aca="false">IF('Monthly Log'!B26="","",IF(B26=0,0,'Monthly Log'!N26/B26))</f>
        <v/>
      </c>
      <c r="G26" s="44" t="str">
        <f aca="false">IF('Monthly Log'!B26="","",IF('Monthly Log'!B26=0,0,'Monthly Log'!P26/'Monthly Log'!B26))</f>
        <v/>
      </c>
      <c r="H26" s="45" t="str">
        <f aca="false">IF('Monthly Log'!B26="","",AVERAGE(MIN(E26*100/20*100,100),MIN(F26/6*100,100),MAX(0,100-G26*100*4),IF(C26&gt;=0,100,MAX(0,100+(IF('Monthly Log'!B26=0,0,C26/'Monthly Log'!B26*100)*2)))))</f>
        <v/>
      </c>
      <c r="I26" s="43" t="str">
        <f aca="false">IF('Monthly Log'!B26="","",B26*12*25)</f>
        <v/>
      </c>
      <c r="J26" s="44" t="str">
        <f aca="false">IF('Monthly Log'!B26="","",IF(I26=0,0,('Monthly Log'!L26+'Monthly Log'!M26)/I26))</f>
        <v/>
      </c>
      <c r="K26" s="43" t="str">
        <f aca="false">IF('Monthly Log'!B26="","",'Monthly Log'!C26+'Monthly Log'!D26+'Monthly Log'!E26+'Monthly Log'!F26+'Monthly Log'!P26)</f>
        <v/>
      </c>
      <c r="L26" s="43" t="str">
        <f aca="false">IF('Monthly Log'!B26="","",'Monthly Log'!G26+'Monthly Log'!H26+'Monthly Log'!I26)</f>
        <v/>
      </c>
      <c r="M26" s="43" t="str">
        <f aca="false">IF('Monthly Log'!B26="","",'Monthly Log'!J26+'Monthly Log'!K26)</f>
        <v/>
      </c>
      <c r="N26" s="44" t="str">
        <f aca="false">IF('Monthly Log'!B26="","",IF('Monthly Log'!B26=0,0,K26/'Monthly Log'!B26))</f>
        <v/>
      </c>
      <c r="O26" s="44" t="str">
        <f aca="false">IF('Monthly Log'!B26="","",IF('Monthly Log'!B26=0,0,L26/'Monthly Log'!B26))</f>
        <v/>
      </c>
      <c r="P26" s="44" t="str">
        <f aca="false">IF('Monthly Log'!B26="","",IF('Monthly Log'!B26=0,0,M26/'Monthly Log'!B26))</f>
        <v/>
      </c>
      <c r="Q26" s="43" t="e">
        <f aca="false">IF(D26="",NA(),D26)</f>
        <v>#N/A</v>
      </c>
      <c r="R26" s="44" t="e">
        <f aca="false">IF(E26="",NA(),E26)</f>
        <v>#N/A</v>
      </c>
      <c r="S26" s="43" t="e">
        <f aca="false">IF(C26="",NA(),C26)</f>
        <v>#N/A</v>
      </c>
      <c r="T26" s="44" t="e">
        <f aca="false">IF(J26="",NA(),J26)</f>
        <v>#N/A</v>
      </c>
      <c r="U26" s="45" t="e">
        <f aca="false">IF(H26="",NA(),H26)</f>
        <v>#N/A</v>
      </c>
    </row>
    <row r="27" customFormat="false" ht="15" hidden="false" customHeight="false" outlineLevel="0" collapsed="false">
      <c r="A27" s="43" t="str">
        <f aca="false">IF('Monthly Log'!B27="","",'Monthly Log'!C27+'Monthly Log'!D27+'Monthly Log'!E27+'Monthly Log'!F27+'Monthly Log'!G27+'Monthly Log'!H27)</f>
        <v/>
      </c>
      <c r="B27" s="43" t="str">
        <f aca="false">IF('Monthly Log'!B27="","",A27+'Monthly Log'!I27)</f>
        <v/>
      </c>
      <c r="C27" s="43" t="str">
        <f aca="false">IF('Monthly Log'!B27="","",'Monthly Log'!B27-A27-'Monthly Log'!I27-'Monthly Log'!P27-'Monthly Log'!J27-'Monthly Log'!K27)</f>
        <v/>
      </c>
      <c r="D27" s="43" t="str">
        <f aca="false">IF('Monthly Log'!B27="","",'Monthly Log'!L27+'Monthly Log'!M27+'Monthly Log'!N27-'Monthly Log'!O27)</f>
        <v/>
      </c>
      <c r="E27" s="44" t="str">
        <f aca="false">IF('Monthly Log'!B27="","",IF('Monthly Log'!B27=0,0,('Monthly Log'!J27+'Monthly Log'!K27)/'Monthly Log'!B27))</f>
        <v/>
      </c>
      <c r="F27" s="45" t="str">
        <f aca="false">IF('Monthly Log'!B27="","",IF(B27=0,0,'Monthly Log'!N27/B27))</f>
        <v/>
      </c>
      <c r="G27" s="44" t="str">
        <f aca="false">IF('Monthly Log'!B27="","",IF('Monthly Log'!B27=0,0,'Monthly Log'!P27/'Monthly Log'!B27))</f>
        <v/>
      </c>
      <c r="H27" s="45" t="str">
        <f aca="false">IF('Monthly Log'!B27="","",AVERAGE(MIN(E27*100/20*100,100),MIN(F27/6*100,100),MAX(0,100-G27*100*4),IF(C27&gt;=0,100,MAX(0,100+(IF('Monthly Log'!B27=0,0,C27/'Monthly Log'!B27*100)*2)))))</f>
        <v/>
      </c>
      <c r="I27" s="43" t="str">
        <f aca="false">IF('Monthly Log'!B27="","",B27*12*25)</f>
        <v/>
      </c>
      <c r="J27" s="44" t="str">
        <f aca="false">IF('Monthly Log'!B27="","",IF(I27=0,0,('Monthly Log'!L27+'Monthly Log'!M27)/I27))</f>
        <v/>
      </c>
      <c r="K27" s="43" t="str">
        <f aca="false">IF('Monthly Log'!B27="","",'Monthly Log'!C27+'Monthly Log'!D27+'Monthly Log'!E27+'Monthly Log'!F27+'Monthly Log'!P27)</f>
        <v/>
      </c>
      <c r="L27" s="43" t="str">
        <f aca="false">IF('Monthly Log'!B27="","",'Monthly Log'!G27+'Monthly Log'!H27+'Monthly Log'!I27)</f>
        <v/>
      </c>
      <c r="M27" s="43" t="str">
        <f aca="false">IF('Monthly Log'!B27="","",'Monthly Log'!J27+'Monthly Log'!K27)</f>
        <v/>
      </c>
      <c r="N27" s="44" t="str">
        <f aca="false">IF('Monthly Log'!B27="","",IF('Monthly Log'!B27=0,0,K27/'Monthly Log'!B27))</f>
        <v/>
      </c>
      <c r="O27" s="44" t="str">
        <f aca="false">IF('Monthly Log'!B27="","",IF('Monthly Log'!B27=0,0,L27/'Monthly Log'!B27))</f>
        <v/>
      </c>
      <c r="P27" s="44" t="str">
        <f aca="false">IF('Monthly Log'!B27="","",IF('Monthly Log'!B27=0,0,M27/'Monthly Log'!B27))</f>
        <v/>
      </c>
      <c r="Q27" s="43" t="e">
        <f aca="false">IF(D27="",NA(),D27)</f>
        <v>#N/A</v>
      </c>
      <c r="R27" s="44" t="e">
        <f aca="false">IF(E27="",NA(),E27)</f>
        <v>#N/A</v>
      </c>
      <c r="S27" s="43" t="e">
        <f aca="false">IF(C27="",NA(),C27)</f>
        <v>#N/A</v>
      </c>
      <c r="T27" s="44" t="e">
        <f aca="false">IF(J27="",NA(),J27)</f>
        <v>#N/A</v>
      </c>
      <c r="U27" s="45" t="e">
        <f aca="false">IF(H27="",NA(),H27)</f>
        <v>#N/A</v>
      </c>
    </row>
    <row r="28" customFormat="false" ht="15" hidden="false" customHeight="false" outlineLevel="0" collapsed="false">
      <c r="A28" s="43" t="str">
        <f aca="false">IF('Monthly Log'!B28="","",'Monthly Log'!C28+'Monthly Log'!D28+'Monthly Log'!E28+'Monthly Log'!F28+'Monthly Log'!G28+'Monthly Log'!H28)</f>
        <v/>
      </c>
      <c r="B28" s="43" t="str">
        <f aca="false">IF('Monthly Log'!B28="","",A28+'Monthly Log'!I28)</f>
        <v/>
      </c>
      <c r="C28" s="43" t="str">
        <f aca="false">IF('Monthly Log'!B28="","",'Monthly Log'!B28-A28-'Monthly Log'!I28-'Monthly Log'!P28-'Monthly Log'!J28-'Monthly Log'!K28)</f>
        <v/>
      </c>
      <c r="D28" s="43" t="str">
        <f aca="false">IF('Monthly Log'!B28="","",'Monthly Log'!L28+'Monthly Log'!M28+'Monthly Log'!N28-'Monthly Log'!O28)</f>
        <v/>
      </c>
      <c r="E28" s="44" t="str">
        <f aca="false">IF('Monthly Log'!B28="","",IF('Monthly Log'!B28=0,0,('Monthly Log'!J28+'Monthly Log'!K28)/'Monthly Log'!B28))</f>
        <v/>
      </c>
      <c r="F28" s="45" t="str">
        <f aca="false">IF('Monthly Log'!B28="","",IF(B28=0,0,'Monthly Log'!N28/B28))</f>
        <v/>
      </c>
      <c r="G28" s="44" t="str">
        <f aca="false">IF('Monthly Log'!B28="","",IF('Monthly Log'!B28=0,0,'Monthly Log'!P28/'Monthly Log'!B28))</f>
        <v/>
      </c>
      <c r="H28" s="45" t="str">
        <f aca="false">IF('Monthly Log'!B28="","",AVERAGE(MIN(E28*100/20*100,100),MIN(F28/6*100,100),MAX(0,100-G28*100*4),IF(C28&gt;=0,100,MAX(0,100+(IF('Monthly Log'!B28=0,0,C28/'Monthly Log'!B28*100)*2)))))</f>
        <v/>
      </c>
      <c r="I28" s="43" t="str">
        <f aca="false">IF('Monthly Log'!B28="","",B28*12*25)</f>
        <v/>
      </c>
      <c r="J28" s="44" t="str">
        <f aca="false">IF('Monthly Log'!B28="","",IF(I28=0,0,('Monthly Log'!L28+'Monthly Log'!M28)/I28))</f>
        <v/>
      </c>
      <c r="K28" s="43" t="str">
        <f aca="false">IF('Monthly Log'!B28="","",'Monthly Log'!C28+'Monthly Log'!D28+'Monthly Log'!E28+'Monthly Log'!F28+'Monthly Log'!P28)</f>
        <v/>
      </c>
      <c r="L28" s="43" t="str">
        <f aca="false">IF('Monthly Log'!B28="","",'Monthly Log'!G28+'Monthly Log'!H28+'Monthly Log'!I28)</f>
        <v/>
      </c>
      <c r="M28" s="43" t="str">
        <f aca="false">IF('Monthly Log'!B28="","",'Monthly Log'!J28+'Monthly Log'!K28)</f>
        <v/>
      </c>
      <c r="N28" s="44" t="str">
        <f aca="false">IF('Monthly Log'!B28="","",IF('Monthly Log'!B28=0,0,K28/'Monthly Log'!B28))</f>
        <v/>
      </c>
      <c r="O28" s="44" t="str">
        <f aca="false">IF('Monthly Log'!B28="","",IF('Monthly Log'!B28=0,0,L28/'Monthly Log'!B28))</f>
        <v/>
      </c>
      <c r="P28" s="44" t="str">
        <f aca="false">IF('Monthly Log'!B28="","",IF('Monthly Log'!B28=0,0,M28/'Monthly Log'!B28))</f>
        <v/>
      </c>
      <c r="Q28" s="43" t="e">
        <f aca="false">IF(D28="",NA(),D28)</f>
        <v>#N/A</v>
      </c>
      <c r="R28" s="44" t="e">
        <f aca="false">IF(E28="",NA(),E28)</f>
        <v>#N/A</v>
      </c>
      <c r="S28" s="43" t="e">
        <f aca="false">IF(C28="",NA(),C28)</f>
        <v>#N/A</v>
      </c>
      <c r="T28" s="44" t="e">
        <f aca="false">IF(J28="",NA(),J28)</f>
        <v>#N/A</v>
      </c>
      <c r="U28" s="45" t="e">
        <f aca="false">IF(H28="",NA(),H28)</f>
        <v>#N/A</v>
      </c>
    </row>
    <row r="29" customFormat="false" ht="15" hidden="false" customHeight="false" outlineLevel="0" collapsed="false">
      <c r="A29" s="43" t="str">
        <f aca="false">IF('Monthly Log'!B29="","",'Monthly Log'!C29+'Monthly Log'!D29+'Monthly Log'!E29+'Monthly Log'!F29+'Monthly Log'!G29+'Monthly Log'!H29)</f>
        <v/>
      </c>
      <c r="B29" s="43" t="str">
        <f aca="false">IF('Monthly Log'!B29="","",A29+'Monthly Log'!I29)</f>
        <v/>
      </c>
      <c r="C29" s="43" t="str">
        <f aca="false">IF('Monthly Log'!B29="","",'Monthly Log'!B29-A29-'Monthly Log'!I29-'Monthly Log'!P29-'Monthly Log'!J29-'Monthly Log'!K29)</f>
        <v/>
      </c>
      <c r="D29" s="43" t="str">
        <f aca="false">IF('Monthly Log'!B29="","",'Monthly Log'!L29+'Monthly Log'!M29+'Monthly Log'!N29-'Monthly Log'!O29)</f>
        <v/>
      </c>
      <c r="E29" s="44" t="str">
        <f aca="false">IF('Monthly Log'!B29="","",IF('Monthly Log'!B29=0,0,('Monthly Log'!J29+'Monthly Log'!K29)/'Monthly Log'!B29))</f>
        <v/>
      </c>
      <c r="F29" s="45" t="str">
        <f aca="false">IF('Monthly Log'!B29="","",IF(B29=0,0,'Monthly Log'!N29/B29))</f>
        <v/>
      </c>
      <c r="G29" s="44" t="str">
        <f aca="false">IF('Monthly Log'!B29="","",IF('Monthly Log'!B29=0,0,'Monthly Log'!P29/'Monthly Log'!B29))</f>
        <v/>
      </c>
      <c r="H29" s="45" t="str">
        <f aca="false">IF('Monthly Log'!B29="","",AVERAGE(MIN(E29*100/20*100,100),MIN(F29/6*100,100),MAX(0,100-G29*100*4),IF(C29&gt;=0,100,MAX(0,100+(IF('Monthly Log'!B29=0,0,C29/'Monthly Log'!B29*100)*2)))))</f>
        <v/>
      </c>
      <c r="I29" s="43" t="str">
        <f aca="false">IF('Monthly Log'!B29="","",B29*12*25)</f>
        <v/>
      </c>
      <c r="J29" s="44" t="str">
        <f aca="false">IF('Monthly Log'!B29="","",IF(I29=0,0,('Monthly Log'!L29+'Monthly Log'!M29)/I29))</f>
        <v/>
      </c>
      <c r="K29" s="43" t="str">
        <f aca="false">IF('Monthly Log'!B29="","",'Monthly Log'!C29+'Monthly Log'!D29+'Monthly Log'!E29+'Monthly Log'!F29+'Monthly Log'!P29)</f>
        <v/>
      </c>
      <c r="L29" s="43" t="str">
        <f aca="false">IF('Monthly Log'!B29="","",'Monthly Log'!G29+'Monthly Log'!H29+'Monthly Log'!I29)</f>
        <v/>
      </c>
      <c r="M29" s="43" t="str">
        <f aca="false">IF('Monthly Log'!B29="","",'Monthly Log'!J29+'Monthly Log'!K29)</f>
        <v/>
      </c>
      <c r="N29" s="44" t="str">
        <f aca="false">IF('Monthly Log'!B29="","",IF('Monthly Log'!B29=0,0,K29/'Monthly Log'!B29))</f>
        <v/>
      </c>
      <c r="O29" s="44" t="str">
        <f aca="false">IF('Monthly Log'!B29="","",IF('Monthly Log'!B29=0,0,L29/'Monthly Log'!B29))</f>
        <v/>
      </c>
      <c r="P29" s="44" t="str">
        <f aca="false">IF('Monthly Log'!B29="","",IF('Monthly Log'!B29=0,0,M29/'Monthly Log'!B29))</f>
        <v/>
      </c>
      <c r="Q29" s="43" t="e">
        <f aca="false">IF(D29="",NA(),D29)</f>
        <v>#N/A</v>
      </c>
      <c r="R29" s="44" t="e">
        <f aca="false">IF(E29="",NA(),E29)</f>
        <v>#N/A</v>
      </c>
      <c r="S29" s="43" t="e">
        <f aca="false">IF(C29="",NA(),C29)</f>
        <v>#N/A</v>
      </c>
      <c r="T29" s="44" t="e">
        <f aca="false">IF(J29="",NA(),J29)</f>
        <v>#N/A</v>
      </c>
      <c r="U29" s="45" t="e">
        <f aca="false">IF(H29="",NA(),H29)</f>
        <v>#N/A</v>
      </c>
    </row>
    <row r="30" customFormat="false" ht="15" hidden="false" customHeight="false" outlineLevel="0" collapsed="false">
      <c r="A30" s="43" t="str">
        <f aca="false">IF('Monthly Log'!B30="","",'Monthly Log'!C30+'Monthly Log'!D30+'Monthly Log'!E30+'Monthly Log'!F30+'Monthly Log'!G30+'Monthly Log'!H30)</f>
        <v/>
      </c>
      <c r="B30" s="43" t="str">
        <f aca="false">IF('Monthly Log'!B30="","",A30+'Monthly Log'!I30)</f>
        <v/>
      </c>
      <c r="C30" s="43" t="str">
        <f aca="false">IF('Monthly Log'!B30="","",'Monthly Log'!B30-A30-'Monthly Log'!I30-'Monthly Log'!P30-'Monthly Log'!J30-'Monthly Log'!K30)</f>
        <v/>
      </c>
      <c r="D30" s="43" t="str">
        <f aca="false">IF('Monthly Log'!B30="","",'Monthly Log'!L30+'Monthly Log'!M30+'Monthly Log'!N30-'Monthly Log'!O30)</f>
        <v/>
      </c>
      <c r="E30" s="44" t="str">
        <f aca="false">IF('Monthly Log'!B30="","",IF('Monthly Log'!B30=0,0,('Monthly Log'!J30+'Monthly Log'!K30)/'Monthly Log'!B30))</f>
        <v/>
      </c>
      <c r="F30" s="45" t="str">
        <f aca="false">IF('Monthly Log'!B30="","",IF(B30=0,0,'Monthly Log'!N30/B30))</f>
        <v/>
      </c>
      <c r="G30" s="44" t="str">
        <f aca="false">IF('Monthly Log'!B30="","",IF('Monthly Log'!B30=0,0,'Monthly Log'!P30/'Monthly Log'!B30))</f>
        <v/>
      </c>
      <c r="H30" s="45" t="str">
        <f aca="false">IF('Monthly Log'!B30="","",AVERAGE(MIN(E30*100/20*100,100),MIN(F30/6*100,100),MAX(0,100-G30*100*4),IF(C30&gt;=0,100,MAX(0,100+(IF('Monthly Log'!B30=0,0,C30/'Monthly Log'!B30*100)*2)))))</f>
        <v/>
      </c>
      <c r="I30" s="43" t="str">
        <f aca="false">IF('Monthly Log'!B30="","",B30*12*25)</f>
        <v/>
      </c>
      <c r="J30" s="44" t="str">
        <f aca="false">IF('Monthly Log'!B30="","",IF(I30=0,0,('Monthly Log'!L30+'Monthly Log'!M30)/I30))</f>
        <v/>
      </c>
      <c r="K30" s="43" t="str">
        <f aca="false">IF('Monthly Log'!B30="","",'Monthly Log'!C30+'Monthly Log'!D30+'Monthly Log'!E30+'Monthly Log'!F30+'Monthly Log'!P30)</f>
        <v/>
      </c>
      <c r="L30" s="43" t="str">
        <f aca="false">IF('Monthly Log'!B30="","",'Monthly Log'!G30+'Monthly Log'!H30+'Monthly Log'!I30)</f>
        <v/>
      </c>
      <c r="M30" s="43" t="str">
        <f aca="false">IF('Monthly Log'!B30="","",'Monthly Log'!J30+'Monthly Log'!K30)</f>
        <v/>
      </c>
      <c r="N30" s="44" t="str">
        <f aca="false">IF('Monthly Log'!B30="","",IF('Monthly Log'!B30=0,0,K30/'Monthly Log'!B30))</f>
        <v/>
      </c>
      <c r="O30" s="44" t="str">
        <f aca="false">IF('Monthly Log'!B30="","",IF('Monthly Log'!B30=0,0,L30/'Monthly Log'!B30))</f>
        <v/>
      </c>
      <c r="P30" s="44" t="str">
        <f aca="false">IF('Monthly Log'!B30="","",IF('Monthly Log'!B30=0,0,M30/'Monthly Log'!B30))</f>
        <v/>
      </c>
      <c r="Q30" s="43" t="e">
        <f aca="false">IF(D30="",NA(),D30)</f>
        <v>#N/A</v>
      </c>
      <c r="R30" s="44" t="e">
        <f aca="false">IF(E30="",NA(),E30)</f>
        <v>#N/A</v>
      </c>
      <c r="S30" s="43" t="e">
        <f aca="false">IF(C30="",NA(),C30)</f>
        <v>#N/A</v>
      </c>
      <c r="T30" s="44" t="e">
        <f aca="false">IF(J30="",NA(),J30)</f>
        <v>#N/A</v>
      </c>
      <c r="U30" s="45" t="e">
        <f aca="false">IF(H30="",NA(),H30)</f>
        <v>#N/A</v>
      </c>
    </row>
    <row r="31" customFormat="false" ht="15" hidden="false" customHeight="false" outlineLevel="0" collapsed="false">
      <c r="A31" s="43" t="str">
        <f aca="false">IF('Monthly Log'!B31="","",'Monthly Log'!C31+'Monthly Log'!D31+'Monthly Log'!E31+'Monthly Log'!F31+'Monthly Log'!G31+'Monthly Log'!H31)</f>
        <v/>
      </c>
      <c r="B31" s="43" t="str">
        <f aca="false">IF('Monthly Log'!B31="","",A31+'Monthly Log'!I31)</f>
        <v/>
      </c>
      <c r="C31" s="43" t="str">
        <f aca="false">IF('Monthly Log'!B31="","",'Monthly Log'!B31-A31-'Monthly Log'!I31-'Monthly Log'!P31-'Monthly Log'!J31-'Monthly Log'!K31)</f>
        <v/>
      </c>
      <c r="D31" s="43" t="str">
        <f aca="false">IF('Monthly Log'!B31="","",'Monthly Log'!L31+'Monthly Log'!M31+'Monthly Log'!N31-'Monthly Log'!O31)</f>
        <v/>
      </c>
      <c r="E31" s="44" t="str">
        <f aca="false">IF('Monthly Log'!B31="","",IF('Monthly Log'!B31=0,0,('Monthly Log'!J31+'Monthly Log'!K31)/'Monthly Log'!B31))</f>
        <v/>
      </c>
      <c r="F31" s="45" t="str">
        <f aca="false">IF('Monthly Log'!B31="","",IF(B31=0,0,'Monthly Log'!N31/B31))</f>
        <v/>
      </c>
      <c r="G31" s="44" t="str">
        <f aca="false">IF('Monthly Log'!B31="","",IF('Monthly Log'!B31=0,0,'Monthly Log'!P31/'Monthly Log'!B31))</f>
        <v/>
      </c>
      <c r="H31" s="45" t="str">
        <f aca="false">IF('Monthly Log'!B31="","",AVERAGE(MIN(E31*100/20*100,100),MIN(F31/6*100,100),MAX(0,100-G31*100*4),IF(C31&gt;=0,100,MAX(0,100+(IF('Monthly Log'!B31=0,0,C31/'Monthly Log'!B31*100)*2)))))</f>
        <v/>
      </c>
      <c r="I31" s="43" t="str">
        <f aca="false">IF('Monthly Log'!B31="","",B31*12*25)</f>
        <v/>
      </c>
      <c r="J31" s="44" t="str">
        <f aca="false">IF('Monthly Log'!B31="","",IF(I31=0,0,('Monthly Log'!L31+'Monthly Log'!M31)/I31))</f>
        <v/>
      </c>
      <c r="K31" s="43" t="str">
        <f aca="false">IF('Monthly Log'!B31="","",'Monthly Log'!C31+'Monthly Log'!D31+'Monthly Log'!E31+'Monthly Log'!F31+'Monthly Log'!P31)</f>
        <v/>
      </c>
      <c r="L31" s="43" t="str">
        <f aca="false">IF('Monthly Log'!B31="","",'Monthly Log'!G31+'Monthly Log'!H31+'Monthly Log'!I31)</f>
        <v/>
      </c>
      <c r="M31" s="43" t="str">
        <f aca="false">IF('Monthly Log'!B31="","",'Monthly Log'!J31+'Monthly Log'!K31)</f>
        <v/>
      </c>
      <c r="N31" s="44" t="str">
        <f aca="false">IF('Monthly Log'!B31="","",IF('Monthly Log'!B31=0,0,K31/'Monthly Log'!B31))</f>
        <v/>
      </c>
      <c r="O31" s="44" t="str">
        <f aca="false">IF('Monthly Log'!B31="","",IF('Monthly Log'!B31=0,0,L31/'Monthly Log'!B31))</f>
        <v/>
      </c>
      <c r="P31" s="44" t="str">
        <f aca="false">IF('Monthly Log'!B31="","",IF('Monthly Log'!B31=0,0,M31/'Monthly Log'!B31))</f>
        <v/>
      </c>
      <c r="Q31" s="43" t="e">
        <f aca="false">IF(D31="",NA(),D31)</f>
        <v>#N/A</v>
      </c>
      <c r="R31" s="44" t="e">
        <f aca="false">IF(E31="",NA(),E31)</f>
        <v>#N/A</v>
      </c>
      <c r="S31" s="43" t="e">
        <f aca="false">IF(C31="",NA(),C31)</f>
        <v>#N/A</v>
      </c>
      <c r="T31" s="44" t="e">
        <f aca="false">IF(J31="",NA(),J31)</f>
        <v>#N/A</v>
      </c>
      <c r="U31" s="45" t="e">
        <f aca="false">IF(H31="",NA(),H31)</f>
        <v>#N/A</v>
      </c>
    </row>
    <row r="32" customFormat="false" ht="15" hidden="false" customHeight="false" outlineLevel="0" collapsed="false">
      <c r="A32" s="43" t="str">
        <f aca="false">IF('Monthly Log'!B32="","",'Monthly Log'!C32+'Monthly Log'!D32+'Monthly Log'!E32+'Monthly Log'!F32+'Monthly Log'!G32+'Monthly Log'!H32)</f>
        <v/>
      </c>
      <c r="B32" s="43" t="str">
        <f aca="false">IF('Monthly Log'!B32="","",A32+'Monthly Log'!I32)</f>
        <v/>
      </c>
      <c r="C32" s="43" t="str">
        <f aca="false">IF('Monthly Log'!B32="","",'Monthly Log'!B32-A32-'Monthly Log'!I32-'Monthly Log'!P32-'Monthly Log'!J32-'Monthly Log'!K32)</f>
        <v/>
      </c>
      <c r="D32" s="43" t="str">
        <f aca="false">IF('Monthly Log'!B32="","",'Monthly Log'!L32+'Monthly Log'!M32+'Monthly Log'!N32-'Monthly Log'!O32)</f>
        <v/>
      </c>
      <c r="E32" s="44" t="str">
        <f aca="false">IF('Monthly Log'!B32="","",IF('Monthly Log'!B32=0,0,('Monthly Log'!J32+'Monthly Log'!K32)/'Monthly Log'!B32))</f>
        <v/>
      </c>
      <c r="F32" s="45" t="str">
        <f aca="false">IF('Monthly Log'!B32="","",IF(B32=0,0,'Monthly Log'!N32/B32))</f>
        <v/>
      </c>
      <c r="G32" s="44" t="str">
        <f aca="false">IF('Monthly Log'!B32="","",IF('Monthly Log'!B32=0,0,'Monthly Log'!P32/'Monthly Log'!B32))</f>
        <v/>
      </c>
      <c r="H32" s="45" t="str">
        <f aca="false">IF('Monthly Log'!B32="","",AVERAGE(MIN(E32*100/20*100,100),MIN(F32/6*100,100),MAX(0,100-G32*100*4),IF(C32&gt;=0,100,MAX(0,100+(IF('Monthly Log'!B32=0,0,C32/'Monthly Log'!B32*100)*2)))))</f>
        <v/>
      </c>
      <c r="I32" s="43" t="str">
        <f aca="false">IF('Monthly Log'!B32="","",B32*12*25)</f>
        <v/>
      </c>
      <c r="J32" s="44" t="str">
        <f aca="false">IF('Monthly Log'!B32="","",IF(I32=0,0,('Monthly Log'!L32+'Monthly Log'!M32)/I32))</f>
        <v/>
      </c>
      <c r="K32" s="43" t="str">
        <f aca="false">IF('Monthly Log'!B32="","",'Monthly Log'!C32+'Monthly Log'!D32+'Monthly Log'!E32+'Monthly Log'!F32+'Monthly Log'!P32)</f>
        <v/>
      </c>
      <c r="L32" s="43" t="str">
        <f aca="false">IF('Monthly Log'!B32="","",'Monthly Log'!G32+'Monthly Log'!H32+'Monthly Log'!I32)</f>
        <v/>
      </c>
      <c r="M32" s="43" t="str">
        <f aca="false">IF('Monthly Log'!B32="","",'Monthly Log'!J32+'Monthly Log'!K32)</f>
        <v/>
      </c>
      <c r="N32" s="44" t="str">
        <f aca="false">IF('Monthly Log'!B32="","",IF('Monthly Log'!B32=0,0,K32/'Monthly Log'!B32))</f>
        <v/>
      </c>
      <c r="O32" s="44" t="str">
        <f aca="false">IF('Monthly Log'!B32="","",IF('Monthly Log'!B32=0,0,L32/'Monthly Log'!B32))</f>
        <v/>
      </c>
      <c r="P32" s="44" t="str">
        <f aca="false">IF('Monthly Log'!B32="","",IF('Monthly Log'!B32=0,0,M32/'Monthly Log'!B32))</f>
        <v/>
      </c>
      <c r="Q32" s="43" t="e">
        <f aca="false">IF(D32="",NA(),D32)</f>
        <v>#N/A</v>
      </c>
      <c r="R32" s="44" t="e">
        <f aca="false">IF(E32="",NA(),E32)</f>
        <v>#N/A</v>
      </c>
      <c r="S32" s="43" t="e">
        <f aca="false">IF(C32="",NA(),C32)</f>
        <v>#N/A</v>
      </c>
      <c r="T32" s="44" t="e">
        <f aca="false">IF(J32="",NA(),J32)</f>
        <v>#N/A</v>
      </c>
      <c r="U32" s="45" t="e">
        <f aca="false">IF(H32="",NA(),H32)</f>
        <v>#N/A</v>
      </c>
    </row>
    <row r="33" customFormat="false" ht="15" hidden="false" customHeight="false" outlineLevel="0" collapsed="false">
      <c r="A33" s="43" t="str">
        <f aca="false">IF('Monthly Log'!B33="","",'Monthly Log'!C33+'Monthly Log'!D33+'Monthly Log'!E33+'Monthly Log'!F33+'Monthly Log'!G33+'Monthly Log'!H33)</f>
        <v/>
      </c>
      <c r="B33" s="43" t="str">
        <f aca="false">IF('Monthly Log'!B33="","",A33+'Monthly Log'!I33)</f>
        <v/>
      </c>
      <c r="C33" s="43" t="str">
        <f aca="false">IF('Monthly Log'!B33="","",'Monthly Log'!B33-A33-'Monthly Log'!I33-'Monthly Log'!P33-'Monthly Log'!J33-'Monthly Log'!K33)</f>
        <v/>
      </c>
      <c r="D33" s="43" t="str">
        <f aca="false">IF('Monthly Log'!B33="","",'Monthly Log'!L33+'Monthly Log'!M33+'Monthly Log'!N33-'Monthly Log'!O33)</f>
        <v/>
      </c>
      <c r="E33" s="44" t="str">
        <f aca="false">IF('Monthly Log'!B33="","",IF('Monthly Log'!B33=0,0,('Monthly Log'!J33+'Monthly Log'!K33)/'Monthly Log'!B33))</f>
        <v/>
      </c>
      <c r="F33" s="45" t="str">
        <f aca="false">IF('Monthly Log'!B33="","",IF(B33=0,0,'Monthly Log'!N33/B33))</f>
        <v/>
      </c>
      <c r="G33" s="44" t="str">
        <f aca="false">IF('Monthly Log'!B33="","",IF('Monthly Log'!B33=0,0,'Monthly Log'!P33/'Monthly Log'!B33))</f>
        <v/>
      </c>
      <c r="H33" s="45" t="str">
        <f aca="false">IF('Monthly Log'!B33="","",AVERAGE(MIN(E33*100/20*100,100),MIN(F33/6*100,100),MAX(0,100-G33*100*4),IF(C33&gt;=0,100,MAX(0,100+(IF('Monthly Log'!B33=0,0,C33/'Monthly Log'!B33*100)*2)))))</f>
        <v/>
      </c>
      <c r="I33" s="43" t="str">
        <f aca="false">IF('Monthly Log'!B33="","",B33*12*25)</f>
        <v/>
      </c>
      <c r="J33" s="44" t="str">
        <f aca="false">IF('Monthly Log'!B33="","",IF(I33=0,0,('Monthly Log'!L33+'Monthly Log'!M33)/I33))</f>
        <v/>
      </c>
      <c r="K33" s="43" t="str">
        <f aca="false">IF('Monthly Log'!B33="","",'Monthly Log'!C33+'Monthly Log'!D33+'Monthly Log'!E33+'Monthly Log'!F33+'Monthly Log'!P33)</f>
        <v/>
      </c>
      <c r="L33" s="43" t="str">
        <f aca="false">IF('Monthly Log'!B33="","",'Monthly Log'!G33+'Monthly Log'!H33+'Monthly Log'!I33)</f>
        <v/>
      </c>
      <c r="M33" s="43" t="str">
        <f aca="false">IF('Monthly Log'!B33="","",'Monthly Log'!J33+'Monthly Log'!K33)</f>
        <v/>
      </c>
      <c r="N33" s="44" t="str">
        <f aca="false">IF('Monthly Log'!B33="","",IF('Monthly Log'!B33=0,0,K33/'Monthly Log'!B33))</f>
        <v/>
      </c>
      <c r="O33" s="44" t="str">
        <f aca="false">IF('Monthly Log'!B33="","",IF('Monthly Log'!B33=0,0,L33/'Monthly Log'!B33))</f>
        <v/>
      </c>
      <c r="P33" s="44" t="str">
        <f aca="false">IF('Monthly Log'!B33="","",IF('Monthly Log'!B33=0,0,M33/'Monthly Log'!B33))</f>
        <v/>
      </c>
      <c r="Q33" s="43" t="e">
        <f aca="false">IF(D33="",NA(),D33)</f>
        <v>#N/A</v>
      </c>
      <c r="R33" s="44" t="e">
        <f aca="false">IF(E33="",NA(),E33)</f>
        <v>#N/A</v>
      </c>
      <c r="S33" s="43" t="e">
        <f aca="false">IF(C33="",NA(),C33)</f>
        <v>#N/A</v>
      </c>
      <c r="T33" s="44" t="e">
        <f aca="false">IF(J33="",NA(),J33)</f>
        <v>#N/A</v>
      </c>
      <c r="U33" s="45" t="e">
        <f aca="false">IF(H33="",NA(),H33)</f>
        <v>#N/A</v>
      </c>
    </row>
    <row r="34" customFormat="false" ht="15" hidden="false" customHeight="false" outlineLevel="0" collapsed="false">
      <c r="A34" s="43" t="str">
        <f aca="false">IF('Monthly Log'!B34="","",'Monthly Log'!C34+'Monthly Log'!D34+'Monthly Log'!E34+'Monthly Log'!F34+'Monthly Log'!G34+'Monthly Log'!H34)</f>
        <v/>
      </c>
      <c r="B34" s="43" t="str">
        <f aca="false">IF('Monthly Log'!B34="","",A34+'Monthly Log'!I34)</f>
        <v/>
      </c>
      <c r="C34" s="43" t="str">
        <f aca="false">IF('Monthly Log'!B34="","",'Monthly Log'!B34-A34-'Monthly Log'!I34-'Monthly Log'!P34-'Monthly Log'!J34-'Monthly Log'!K34)</f>
        <v/>
      </c>
      <c r="D34" s="43" t="str">
        <f aca="false">IF('Monthly Log'!B34="","",'Monthly Log'!L34+'Monthly Log'!M34+'Monthly Log'!N34-'Monthly Log'!O34)</f>
        <v/>
      </c>
      <c r="E34" s="44" t="str">
        <f aca="false">IF('Monthly Log'!B34="","",IF('Monthly Log'!B34=0,0,('Monthly Log'!J34+'Monthly Log'!K34)/'Monthly Log'!B34))</f>
        <v/>
      </c>
      <c r="F34" s="45" t="str">
        <f aca="false">IF('Monthly Log'!B34="","",IF(B34=0,0,'Monthly Log'!N34/B34))</f>
        <v/>
      </c>
      <c r="G34" s="44" t="str">
        <f aca="false">IF('Monthly Log'!B34="","",IF('Monthly Log'!B34=0,0,'Monthly Log'!P34/'Monthly Log'!B34))</f>
        <v/>
      </c>
      <c r="H34" s="45" t="str">
        <f aca="false">IF('Monthly Log'!B34="","",AVERAGE(MIN(E34*100/20*100,100),MIN(F34/6*100,100),MAX(0,100-G34*100*4),IF(C34&gt;=0,100,MAX(0,100+(IF('Monthly Log'!B34=0,0,C34/'Monthly Log'!B34*100)*2)))))</f>
        <v/>
      </c>
      <c r="I34" s="43" t="str">
        <f aca="false">IF('Monthly Log'!B34="","",B34*12*25)</f>
        <v/>
      </c>
      <c r="J34" s="44" t="str">
        <f aca="false">IF('Monthly Log'!B34="","",IF(I34=0,0,('Monthly Log'!L34+'Monthly Log'!M34)/I34))</f>
        <v/>
      </c>
      <c r="K34" s="43" t="str">
        <f aca="false">IF('Monthly Log'!B34="","",'Monthly Log'!C34+'Monthly Log'!D34+'Monthly Log'!E34+'Monthly Log'!F34+'Monthly Log'!P34)</f>
        <v/>
      </c>
      <c r="L34" s="43" t="str">
        <f aca="false">IF('Monthly Log'!B34="","",'Monthly Log'!G34+'Monthly Log'!H34+'Monthly Log'!I34)</f>
        <v/>
      </c>
      <c r="M34" s="43" t="str">
        <f aca="false">IF('Monthly Log'!B34="","",'Monthly Log'!J34+'Monthly Log'!K34)</f>
        <v/>
      </c>
      <c r="N34" s="44" t="str">
        <f aca="false">IF('Monthly Log'!B34="","",IF('Monthly Log'!B34=0,0,K34/'Monthly Log'!B34))</f>
        <v/>
      </c>
      <c r="O34" s="44" t="str">
        <f aca="false">IF('Monthly Log'!B34="","",IF('Monthly Log'!B34=0,0,L34/'Monthly Log'!B34))</f>
        <v/>
      </c>
      <c r="P34" s="44" t="str">
        <f aca="false">IF('Monthly Log'!B34="","",IF('Monthly Log'!B34=0,0,M34/'Monthly Log'!B34))</f>
        <v/>
      </c>
      <c r="Q34" s="43" t="e">
        <f aca="false">IF(D34="",NA(),D34)</f>
        <v>#N/A</v>
      </c>
      <c r="R34" s="44" t="e">
        <f aca="false">IF(E34="",NA(),E34)</f>
        <v>#N/A</v>
      </c>
      <c r="S34" s="43" t="e">
        <f aca="false">IF(C34="",NA(),C34)</f>
        <v>#N/A</v>
      </c>
      <c r="T34" s="44" t="e">
        <f aca="false">IF(J34="",NA(),J34)</f>
        <v>#N/A</v>
      </c>
      <c r="U34" s="45" t="e">
        <f aca="false">IF(H34="",NA(),H34)</f>
        <v>#N/A</v>
      </c>
    </row>
    <row r="35" customFormat="false" ht="15" hidden="false" customHeight="false" outlineLevel="0" collapsed="false">
      <c r="A35" s="43" t="str">
        <f aca="false">IF('Monthly Log'!B35="","",'Monthly Log'!C35+'Monthly Log'!D35+'Monthly Log'!E35+'Monthly Log'!F35+'Monthly Log'!G35+'Monthly Log'!H35)</f>
        <v/>
      </c>
      <c r="B35" s="43" t="str">
        <f aca="false">IF('Monthly Log'!B35="","",A35+'Monthly Log'!I35)</f>
        <v/>
      </c>
      <c r="C35" s="43" t="str">
        <f aca="false">IF('Monthly Log'!B35="","",'Monthly Log'!B35-A35-'Monthly Log'!I35-'Monthly Log'!P35-'Monthly Log'!J35-'Monthly Log'!K35)</f>
        <v/>
      </c>
      <c r="D35" s="43" t="str">
        <f aca="false">IF('Monthly Log'!B35="","",'Monthly Log'!L35+'Monthly Log'!M35+'Monthly Log'!N35-'Monthly Log'!O35)</f>
        <v/>
      </c>
      <c r="E35" s="44" t="str">
        <f aca="false">IF('Monthly Log'!B35="","",IF('Monthly Log'!B35=0,0,('Monthly Log'!J35+'Monthly Log'!K35)/'Monthly Log'!B35))</f>
        <v/>
      </c>
      <c r="F35" s="45" t="str">
        <f aca="false">IF('Monthly Log'!B35="","",IF(B35=0,0,'Monthly Log'!N35/B35))</f>
        <v/>
      </c>
      <c r="G35" s="44" t="str">
        <f aca="false">IF('Monthly Log'!B35="","",IF('Monthly Log'!B35=0,0,'Monthly Log'!P35/'Monthly Log'!B35))</f>
        <v/>
      </c>
      <c r="H35" s="45" t="str">
        <f aca="false">IF('Monthly Log'!B35="","",AVERAGE(MIN(E35*100/20*100,100),MIN(F35/6*100,100),MAX(0,100-G35*100*4),IF(C35&gt;=0,100,MAX(0,100+(IF('Monthly Log'!B35=0,0,C35/'Monthly Log'!B35*100)*2)))))</f>
        <v/>
      </c>
      <c r="I35" s="43" t="str">
        <f aca="false">IF('Monthly Log'!B35="","",B35*12*25)</f>
        <v/>
      </c>
      <c r="J35" s="44" t="str">
        <f aca="false">IF('Monthly Log'!B35="","",IF(I35=0,0,('Monthly Log'!L35+'Monthly Log'!M35)/I35))</f>
        <v/>
      </c>
      <c r="K35" s="43" t="str">
        <f aca="false">IF('Monthly Log'!B35="","",'Monthly Log'!C35+'Monthly Log'!D35+'Monthly Log'!E35+'Monthly Log'!F35+'Monthly Log'!P35)</f>
        <v/>
      </c>
      <c r="L35" s="43" t="str">
        <f aca="false">IF('Monthly Log'!B35="","",'Monthly Log'!G35+'Monthly Log'!H35+'Monthly Log'!I35)</f>
        <v/>
      </c>
      <c r="M35" s="43" t="str">
        <f aca="false">IF('Monthly Log'!B35="","",'Monthly Log'!J35+'Monthly Log'!K35)</f>
        <v/>
      </c>
      <c r="N35" s="44" t="str">
        <f aca="false">IF('Monthly Log'!B35="","",IF('Monthly Log'!B35=0,0,K35/'Monthly Log'!B35))</f>
        <v/>
      </c>
      <c r="O35" s="44" t="str">
        <f aca="false">IF('Monthly Log'!B35="","",IF('Monthly Log'!B35=0,0,L35/'Monthly Log'!B35))</f>
        <v/>
      </c>
      <c r="P35" s="44" t="str">
        <f aca="false">IF('Monthly Log'!B35="","",IF('Monthly Log'!B35=0,0,M35/'Monthly Log'!B35))</f>
        <v/>
      </c>
      <c r="Q35" s="43" t="e">
        <f aca="false">IF(D35="",NA(),D35)</f>
        <v>#N/A</v>
      </c>
      <c r="R35" s="44" t="e">
        <f aca="false">IF(E35="",NA(),E35)</f>
        <v>#N/A</v>
      </c>
      <c r="S35" s="43" t="e">
        <f aca="false">IF(C35="",NA(),C35)</f>
        <v>#N/A</v>
      </c>
      <c r="T35" s="44" t="e">
        <f aca="false">IF(J35="",NA(),J35)</f>
        <v>#N/A</v>
      </c>
      <c r="U35" s="45" t="e">
        <f aca="false">IF(H35="",NA(),H35)</f>
        <v>#N/A</v>
      </c>
    </row>
    <row r="36" customFormat="false" ht="15" hidden="false" customHeight="false" outlineLevel="0" collapsed="false">
      <c r="A36" s="43" t="str">
        <f aca="false">IF('Monthly Log'!B36="","",'Monthly Log'!C36+'Monthly Log'!D36+'Monthly Log'!E36+'Monthly Log'!F36+'Monthly Log'!G36+'Monthly Log'!H36)</f>
        <v/>
      </c>
      <c r="B36" s="43" t="str">
        <f aca="false">IF('Monthly Log'!B36="","",A36+'Monthly Log'!I36)</f>
        <v/>
      </c>
      <c r="C36" s="43" t="str">
        <f aca="false">IF('Monthly Log'!B36="","",'Monthly Log'!B36-A36-'Monthly Log'!I36-'Monthly Log'!P36-'Monthly Log'!J36-'Monthly Log'!K36)</f>
        <v/>
      </c>
      <c r="D36" s="43" t="str">
        <f aca="false">IF('Monthly Log'!B36="","",'Monthly Log'!L36+'Monthly Log'!M36+'Monthly Log'!N36-'Monthly Log'!O36)</f>
        <v/>
      </c>
      <c r="E36" s="44" t="str">
        <f aca="false">IF('Monthly Log'!B36="","",IF('Monthly Log'!B36=0,0,('Monthly Log'!J36+'Monthly Log'!K36)/'Monthly Log'!B36))</f>
        <v/>
      </c>
      <c r="F36" s="45" t="str">
        <f aca="false">IF('Monthly Log'!B36="","",IF(B36=0,0,'Monthly Log'!N36/B36))</f>
        <v/>
      </c>
      <c r="G36" s="44" t="str">
        <f aca="false">IF('Monthly Log'!B36="","",IF('Monthly Log'!B36=0,0,'Monthly Log'!P36/'Monthly Log'!B36))</f>
        <v/>
      </c>
      <c r="H36" s="45" t="str">
        <f aca="false">IF('Monthly Log'!B36="","",AVERAGE(MIN(E36*100/20*100,100),MIN(F36/6*100,100),MAX(0,100-G36*100*4),IF(C36&gt;=0,100,MAX(0,100+(IF('Monthly Log'!B36=0,0,C36/'Monthly Log'!B36*100)*2)))))</f>
        <v/>
      </c>
      <c r="I36" s="43" t="str">
        <f aca="false">IF('Monthly Log'!B36="","",B36*12*25)</f>
        <v/>
      </c>
      <c r="J36" s="44" t="str">
        <f aca="false">IF('Monthly Log'!B36="","",IF(I36=0,0,('Monthly Log'!L36+'Monthly Log'!M36)/I36))</f>
        <v/>
      </c>
      <c r="K36" s="43" t="str">
        <f aca="false">IF('Monthly Log'!B36="","",'Monthly Log'!C36+'Monthly Log'!D36+'Monthly Log'!E36+'Monthly Log'!F36+'Monthly Log'!P36)</f>
        <v/>
      </c>
      <c r="L36" s="43" t="str">
        <f aca="false">IF('Monthly Log'!B36="","",'Monthly Log'!G36+'Monthly Log'!H36+'Monthly Log'!I36)</f>
        <v/>
      </c>
      <c r="M36" s="43" t="str">
        <f aca="false">IF('Monthly Log'!B36="","",'Monthly Log'!J36+'Monthly Log'!K36)</f>
        <v/>
      </c>
      <c r="N36" s="44" t="str">
        <f aca="false">IF('Monthly Log'!B36="","",IF('Monthly Log'!B36=0,0,K36/'Monthly Log'!B36))</f>
        <v/>
      </c>
      <c r="O36" s="44" t="str">
        <f aca="false">IF('Monthly Log'!B36="","",IF('Monthly Log'!B36=0,0,L36/'Monthly Log'!B36))</f>
        <v/>
      </c>
      <c r="P36" s="44" t="str">
        <f aca="false">IF('Monthly Log'!B36="","",IF('Monthly Log'!B36=0,0,M36/'Monthly Log'!B36))</f>
        <v/>
      </c>
      <c r="Q36" s="43" t="e">
        <f aca="false">IF(D36="",NA(),D36)</f>
        <v>#N/A</v>
      </c>
      <c r="R36" s="44" t="e">
        <f aca="false">IF(E36="",NA(),E36)</f>
        <v>#N/A</v>
      </c>
      <c r="S36" s="43" t="e">
        <f aca="false">IF(C36="",NA(),C36)</f>
        <v>#N/A</v>
      </c>
      <c r="T36" s="44" t="e">
        <f aca="false">IF(J36="",NA(),J36)</f>
        <v>#N/A</v>
      </c>
      <c r="U36" s="45" t="e">
        <f aca="false">IF(H36="",NA(),H36)</f>
        <v>#N/A</v>
      </c>
    </row>
    <row r="37" customFormat="false" ht="15" hidden="false" customHeight="false" outlineLevel="0" collapsed="false">
      <c r="A37" s="43" t="str">
        <f aca="false">IF('Monthly Log'!B37="","",'Monthly Log'!C37+'Monthly Log'!D37+'Monthly Log'!E37+'Monthly Log'!F37+'Monthly Log'!G37+'Monthly Log'!H37)</f>
        <v/>
      </c>
      <c r="B37" s="43" t="str">
        <f aca="false">IF('Monthly Log'!B37="","",A37+'Monthly Log'!I37)</f>
        <v/>
      </c>
      <c r="C37" s="43" t="str">
        <f aca="false">IF('Monthly Log'!B37="","",'Monthly Log'!B37-A37-'Monthly Log'!I37-'Monthly Log'!P37-'Monthly Log'!J37-'Monthly Log'!K37)</f>
        <v/>
      </c>
      <c r="D37" s="43" t="str">
        <f aca="false">IF('Monthly Log'!B37="","",'Monthly Log'!L37+'Monthly Log'!M37+'Monthly Log'!N37-'Monthly Log'!O37)</f>
        <v/>
      </c>
      <c r="E37" s="44" t="str">
        <f aca="false">IF('Monthly Log'!B37="","",IF('Monthly Log'!B37=0,0,('Monthly Log'!J37+'Monthly Log'!K37)/'Monthly Log'!B37))</f>
        <v/>
      </c>
      <c r="F37" s="45" t="str">
        <f aca="false">IF('Monthly Log'!B37="","",IF(B37=0,0,'Monthly Log'!N37/B37))</f>
        <v/>
      </c>
      <c r="G37" s="44" t="str">
        <f aca="false">IF('Monthly Log'!B37="","",IF('Monthly Log'!B37=0,0,'Monthly Log'!P37/'Monthly Log'!B37))</f>
        <v/>
      </c>
      <c r="H37" s="45" t="str">
        <f aca="false">IF('Monthly Log'!B37="","",AVERAGE(MIN(E37*100/20*100,100),MIN(F37/6*100,100),MAX(0,100-G37*100*4),IF(C37&gt;=0,100,MAX(0,100+(IF('Monthly Log'!B37=0,0,C37/'Monthly Log'!B37*100)*2)))))</f>
        <v/>
      </c>
      <c r="I37" s="43" t="str">
        <f aca="false">IF('Monthly Log'!B37="","",B37*12*25)</f>
        <v/>
      </c>
      <c r="J37" s="44" t="str">
        <f aca="false">IF('Monthly Log'!B37="","",IF(I37=0,0,('Monthly Log'!L37+'Monthly Log'!M37)/I37))</f>
        <v/>
      </c>
      <c r="K37" s="43" t="str">
        <f aca="false">IF('Monthly Log'!B37="","",'Monthly Log'!C37+'Monthly Log'!D37+'Monthly Log'!E37+'Monthly Log'!F37+'Monthly Log'!P37)</f>
        <v/>
      </c>
      <c r="L37" s="43" t="str">
        <f aca="false">IF('Monthly Log'!B37="","",'Monthly Log'!G37+'Monthly Log'!H37+'Monthly Log'!I37)</f>
        <v/>
      </c>
      <c r="M37" s="43" t="str">
        <f aca="false">IF('Monthly Log'!B37="","",'Monthly Log'!J37+'Monthly Log'!K37)</f>
        <v/>
      </c>
      <c r="N37" s="44" t="str">
        <f aca="false">IF('Monthly Log'!B37="","",IF('Monthly Log'!B37=0,0,K37/'Monthly Log'!B37))</f>
        <v/>
      </c>
      <c r="O37" s="44" t="str">
        <f aca="false">IF('Monthly Log'!B37="","",IF('Monthly Log'!B37=0,0,L37/'Monthly Log'!B37))</f>
        <v/>
      </c>
      <c r="P37" s="44" t="str">
        <f aca="false">IF('Monthly Log'!B37="","",IF('Monthly Log'!B37=0,0,M37/'Monthly Log'!B37))</f>
        <v/>
      </c>
      <c r="Q37" s="43" t="e">
        <f aca="false">IF(D37="",NA(),D37)</f>
        <v>#N/A</v>
      </c>
      <c r="R37" s="44" t="e">
        <f aca="false">IF(E37="",NA(),E37)</f>
        <v>#N/A</v>
      </c>
      <c r="S37" s="43" t="e">
        <f aca="false">IF(C37="",NA(),C37)</f>
        <v>#N/A</v>
      </c>
      <c r="T37" s="44" t="e">
        <f aca="false">IF(J37="",NA(),J37)</f>
        <v>#N/A</v>
      </c>
      <c r="U37" s="45" t="e">
        <f aca="false">IF(H37="",NA(),H37)</f>
        <v>#N/A</v>
      </c>
    </row>
    <row r="38" customFormat="false" ht="15" hidden="false" customHeight="false" outlineLevel="0" collapsed="false">
      <c r="A38" s="43" t="str">
        <f aca="false">IF('Monthly Log'!B38="","",'Monthly Log'!C38+'Monthly Log'!D38+'Monthly Log'!E38+'Monthly Log'!F38+'Monthly Log'!G38+'Monthly Log'!H38)</f>
        <v/>
      </c>
      <c r="B38" s="43" t="str">
        <f aca="false">IF('Monthly Log'!B38="","",A38+'Monthly Log'!I38)</f>
        <v/>
      </c>
      <c r="C38" s="43" t="str">
        <f aca="false">IF('Monthly Log'!B38="","",'Monthly Log'!B38-A38-'Monthly Log'!I38-'Monthly Log'!P38-'Monthly Log'!J38-'Monthly Log'!K38)</f>
        <v/>
      </c>
      <c r="D38" s="43" t="str">
        <f aca="false">IF('Monthly Log'!B38="","",'Monthly Log'!L38+'Monthly Log'!M38+'Monthly Log'!N38-'Monthly Log'!O38)</f>
        <v/>
      </c>
      <c r="E38" s="44" t="str">
        <f aca="false">IF('Monthly Log'!B38="","",IF('Monthly Log'!B38=0,0,('Monthly Log'!J38+'Monthly Log'!K38)/'Monthly Log'!B38))</f>
        <v/>
      </c>
      <c r="F38" s="45" t="str">
        <f aca="false">IF('Monthly Log'!B38="","",IF(B38=0,0,'Monthly Log'!N38/B38))</f>
        <v/>
      </c>
      <c r="G38" s="44" t="str">
        <f aca="false">IF('Monthly Log'!B38="","",IF('Monthly Log'!B38=0,0,'Monthly Log'!P38/'Monthly Log'!B38))</f>
        <v/>
      </c>
      <c r="H38" s="45" t="str">
        <f aca="false">IF('Monthly Log'!B38="","",AVERAGE(MIN(E38*100/20*100,100),MIN(F38/6*100,100),MAX(0,100-G38*100*4),IF(C38&gt;=0,100,MAX(0,100+(IF('Monthly Log'!B38=0,0,C38/'Monthly Log'!B38*100)*2)))))</f>
        <v/>
      </c>
      <c r="I38" s="43" t="str">
        <f aca="false">IF('Monthly Log'!B38="","",B38*12*25)</f>
        <v/>
      </c>
      <c r="J38" s="44" t="str">
        <f aca="false">IF('Monthly Log'!B38="","",IF(I38=0,0,('Monthly Log'!L38+'Monthly Log'!M38)/I38))</f>
        <v/>
      </c>
      <c r="K38" s="43" t="str">
        <f aca="false">IF('Monthly Log'!B38="","",'Monthly Log'!C38+'Monthly Log'!D38+'Monthly Log'!E38+'Monthly Log'!F38+'Monthly Log'!P38)</f>
        <v/>
      </c>
      <c r="L38" s="43" t="str">
        <f aca="false">IF('Monthly Log'!B38="","",'Monthly Log'!G38+'Monthly Log'!H38+'Monthly Log'!I38)</f>
        <v/>
      </c>
      <c r="M38" s="43" t="str">
        <f aca="false">IF('Monthly Log'!B38="","",'Monthly Log'!J38+'Monthly Log'!K38)</f>
        <v/>
      </c>
      <c r="N38" s="44" t="str">
        <f aca="false">IF('Monthly Log'!B38="","",IF('Monthly Log'!B38=0,0,K38/'Monthly Log'!B38))</f>
        <v/>
      </c>
      <c r="O38" s="44" t="str">
        <f aca="false">IF('Monthly Log'!B38="","",IF('Monthly Log'!B38=0,0,L38/'Monthly Log'!B38))</f>
        <v/>
      </c>
      <c r="P38" s="44" t="str">
        <f aca="false">IF('Monthly Log'!B38="","",IF('Monthly Log'!B38=0,0,M38/'Monthly Log'!B38))</f>
        <v/>
      </c>
      <c r="Q38" s="43" t="e">
        <f aca="false">IF(D38="",NA(),D38)</f>
        <v>#N/A</v>
      </c>
      <c r="R38" s="44" t="e">
        <f aca="false">IF(E38="",NA(),E38)</f>
        <v>#N/A</v>
      </c>
      <c r="S38" s="43" t="e">
        <f aca="false">IF(C38="",NA(),C38)</f>
        <v>#N/A</v>
      </c>
      <c r="T38" s="44" t="e">
        <f aca="false">IF(J38="",NA(),J38)</f>
        <v>#N/A</v>
      </c>
      <c r="U38" s="45" t="e">
        <f aca="false">IF(H38="",NA(),H38)</f>
        <v>#N/A</v>
      </c>
    </row>
    <row r="39" customFormat="false" ht="15" hidden="false" customHeight="false" outlineLevel="0" collapsed="false">
      <c r="A39" s="43" t="str">
        <f aca="false">IF('Monthly Log'!B39="","",'Monthly Log'!C39+'Monthly Log'!D39+'Monthly Log'!E39+'Monthly Log'!F39+'Monthly Log'!G39+'Monthly Log'!H39)</f>
        <v/>
      </c>
      <c r="B39" s="43" t="str">
        <f aca="false">IF('Monthly Log'!B39="","",A39+'Monthly Log'!I39)</f>
        <v/>
      </c>
      <c r="C39" s="43" t="str">
        <f aca="false">IF('Monthly Log'!B39="","",'Monthly Log'!B39-A39-'Monthly Log'!I39-'Monthly Log'!P39-'Monthly Log'!J39-'Monthly Log'!K39)</f>
        <v/>
      </c>
      <c r="D39" s="43" t="str">
        <f aca="false">IF('Monthly Log'!B39="","",'Monthly Log'!L39+'Monthly Log'!M39+'Monthly Log'!N39-'Monthly Log'!O39)</f>
        <v/>
      </c>
      <c r="E39" s="44" t="str">
        <f aca="false">IF('Monthly Log'!B39="","",IF('Monthly Log'!B39=0,0,('Monthly Log'!J39+'Monthly Log'!K39)/'Monthly Log'!B39))</f>
        <v/>
      </c>
      <c r="F39" s="45" t="str">
        <f aca="false">IF('Monthly Log'!B39="","",IF(B39=0,0,'Monthly Log'!N39/B39))</f>
        <v/>
      </c>
      <c r="G39" s="44" t="str">
        <f aca="false">IF('Monthly Log'!B39="","",IF('Monthly Log'!B39=0,0,'Monthly Log'!P39/'Monthly Log'!B39))</f>
        <v/>
      </c>
      <c r="H39" s="45" t="str">
        <f aca="false">IF('Monthly Log'!B39="","",AVERAGE(MIN(E39*100/20*100,100),MIN(F39/6*100,100),MAX(0,100-G39*100*4),IF(C39&gt;=0,100,MAX(0,100+(IF('Monthly Log'!B39=0,0,C39/'Monthly Log'!B39*100)*2)))))</f>
        <v/>
      </c>
      <c r="I39" s="43" t="str">
        <f aca="false">IF('Monthly Log'!B39="","",B39*12*25)</f>
        <v/>
      </c>
      <c r="J39" s="44" t="str">
        <f aca="false">IF('Monthly Log'!B39="","",IF(I39=0,0,('Monthly Log'!L39+'Monthly Log'!M39)/I39))</f>
        <v/>
      </c>
      <c r="K39" s="43" t="str">
        <f aca="false">IF('Monthly Log'!B39="","",'Monthly Log'!C39+'Monthly Log'!D39+'Monthly Log'!E39+'Monthly Log'!F39+'Monthly Log'!P39)</f>
        <v/>
      </c>
      <c r="L39" s="43" t="str">
        <f aca="false">IF('Monthly Log'!B39="","",'Monthly Log'!G39+'Monthly Log'!H39+'Monthly Log'!I39)</f>
        <v/>
      </c>
      <c r="M39" s="43" t="str">
        <f aca="false">IF('Monthly Log'!B39="","",'Monthly Log'!J39+'Monthly Log'!K39)</f>
        <v/>
      </c>
      <c r="N39" s="44" t="str">
        <f aca="false">IF('Monthly Log'!B39="","",IF('Monthly Log'!B39=0,0,K39/'Monthly Log'!B39))</f>
        <v/>
      </c>
      <c r="O39" s="44" t="str">
        <f aca="false">IF('Monthly Log'!B39="","",IF('Monthly Log'!B39=0,0,L39/'Monthly Log'!B39))</f>
        <v/>
      </c>
      <c r="P39" s="44" t="str">
        <f aca="false">IF('Monthly Log'!B39="","",IF('Monthly Log'!B39=0,0,M39/'Monthly Log'!B39))</f>
        <v/>
      </c>
      <c r="Q39" s="43" t="e">
        <f aca="false">IF(D39="",NA(),D39)</f>
        <v>#N/A</v>
      </c>
      <c r="R39" s="44" t="e">
        <f aca="false">IF(E39="",NA(),E39)</f>
        <v>#N/A</v>
      </c>
      <c r="S39" s="43" t="e">
        <f aca="false">IF(C39="",NA(),C39)</f>
        <v>#N/A</v>
      </c>
      <c r="T39" s="44" t="e">
        <f aca="false">IF(J39="",NA(),J39)</f>
        <v>#N/A</v>
      </c>
      <c r="U39" s="45" t="e">
        <f aca="false">IF(H39="",NA(),H39)</f>
        <v>#N/A</v>
      </c>
    </row>
    <row r="40" customFormat="false" ht="15" hidden="false" customHeight="false" outlineLevel="0" collapsed="false">
      <c r="A40" s="43" t="str">
        <f aca="false">IF('Monthly Log'!B40="","",'Monthly Log'!C40+'Monthly Log'!D40+'Monthly Log'!E40+'Monthly Log'!F40+'Monthly Log'!G40+'Monthly Log'!H40)</f>
        <v/>
      </c>
      <c r="B40" s="43" t="str">
        <f aca="false">IF('Monthly Log'!B40="","",A40+'Monthly Log'!I40)</f>
        <v/>
      </c>
      <c r="C40" s="43" t="str">
        <f aca="false">IF('Monthly Log'!B40="","",'Monthly Log'!B40-A40-'Monthly Log'!I40-'Monthly Log'!P40-'Monthly Log'!J40-'Monthly Log'!K40)</f>
        <v/>
      </c>
      <c r="D40" s="43" t="str">
        <f aca="false">IF('Monthly Log'!B40="","",'Monthly Log'!L40+'Monthly Log'!M40+'Monthly Log'!N40-'Monthly Log'!O40)</f>
        <v/>
      </c>
      <c r="E40" s="44" t="str">
        <f aca="false">IF('Monthly Log'!B40="","",IF('Monthly Log'!B40=0,0,('Monthly Log'!J40+'Monthly Log'!K40)/'Monthly Log'!B40))</f>
        <v/>
      </c>
      <c r="F40" s="45" t="str">
        <f aca="false">IF('Monthly Log'!B40="","",IF(B40=0,0,'Monthly Log'!N40/B40))</f>
        <v/>
      </c>
      <c r="G40" s="44" t="str">
        <f aca="false">IF('Monthly Log'!B40="","",IF('Monthly Log'!B40=0,0,'Monthly Log'!P40/'Monthly Log'!B40))</f>
        <v/>
      </c>
      <c r="H40" s="45" t="str">
        <f aca="false">IF('Monthly Log'!B40="","",AVERAGE(MIN(E40*100/20*100,100),MIN(F40/6*100,100),MAX(0,100-G40*100*4),IF(C40&gt;=0,100,MAX(0,100+(IF('Monthly Log'!B40=0,0,C40/'Monthly Log'!B40*100)*2)))))</f>
        <v/>
      </c>
      <c r="I40" s="43" t="str">
        <f aca="false">IF('Monthly Log'!B40="","",B40*12*25)</f>
        <v/>
      </c>
      <c r="J40" s="44" t="str">
        <f aca="false">IF('Monthly Log'!B40="","",IF(I40=0,0,('Monthly Log'!L40+'Monthly Log'!M40)/I40))</f>
        <v/>
      </c>
      <c r="K40" s="43" t="str">
        <f aca="false">IF('Monthly Log'!B40="","",'Monthly Log'!C40+'Monthly Log'!D40+'Monthly Log'!E40+'Monthly Log'!F40+'Monthly Log'!P40)</f>
        <v/>
      </c>
      <c r="L40" s="43" t="str">
        <f aca="false">IF('Monthly Log'!B40="","",'Monthly Log'!G40+'Monthly Log'!H40+'Monthly Log'!I40)</f>
        <v/>
      </c>
      <c r="M40" s="43" t="str">
        <f aca="false">IF('Monthly Log'!B40="","",'Monthly Log'!J40+'Monthly Log'!K40)</f>
        <v/>
      </c>
      <c r="N40" s="44" t="str">
        <f aca="false">IF('Monthly Log'!B40="","",IF('Monthly Log'!B40=0,0,K40/'Monthly Log'!B40))</f>
        <v/>
      </c>
      <c r="O40" s="44" t="str">
        <f aca="false">IF('Monthly Log'!B40="","",IF('Monthly Log'!B40=0,0,L40/'Monthly Log'!B40))</f>
        <v/>
      </c>
      <c r="P40" s="44" t="str">
        <f aca="false">IF('Monthly Log'!B40="","",IF('Monthly Log'!B40=0,0,M40/'Monthly Log'!B40))</f>
        <v/>
      </c>
      <c r="Q40" s="43" t="e">
        <f aca="false">IF(D40="",NA(),D40)</f>
        <v>#N/A</v>
      </c>
      <c r="R40" s="44" t="e">
        <f aca="false">IF(E40="",NA(),E40)</f>
        <v>#N/A</v>
      </c>
      <c r="S40" s="43" t="e">
        <f aca="false">IF(C40="",NA(),C40)</f>
        <v>#N/A</v>
      </c>
      <c r="T40" s="44" t="e">
        <f aca="false">IF(J40="",NA(),J40)</f>
        <v>#N/A</v>
      </c>
      <c r="U40" s="45" t="e">
        <f aca="false">IF(H40="",NA(),H40)</f>
        <v>#N/A</v>
      </c>
    </row>
    <row r="41" customFormat="false" ht="15" hidden="false" customHeight="false" outlineLevel="0" collapsed="false">
      <c r="A41" s="43" t="str">
        <f aca="false">IF('Monthly Log'!B41="","",'Monthly Log'!C41+'Monthly Log'!D41+'Monthly Log'!E41+'Monthly Log'!F41+'Monthly Log'!G41+'Monthly Log'!H41)</f>
        <v/>
      </c>
      <c r="B41" s="43" t="str">
        <f aca="false">IF('Monthly Log'!B41="","",A41+'Monthly Log'!I41)</f>
        <v/>
      </c>
      <c r="C41" s="43" t="str">
        <f aca="false">IF('Monthly Log'!B41="","",'Monthly Log'!B41-A41-'Monthly Log'!I41-'Monthly Log'!P41-'Monthly Log'!J41-'Monthly Log'!K41)</f>
        <v/>
      </c>
      <c r="D41" s="43" t="str">
        <f aca="false">IF('Monthly Log'!B41="","",'Monthly Log'!L41+'Monthly Log'!M41+'Monthly Log'!N41-'Monthly Log'!O41)</f>
        <v/>
      </c>
      <c r="E41" s="44" t="str">
        <f aca="false">IF('Monthly Log'!B41="","",IF('Monthly Log'!B41=0,0,('Monthly Log'!J41+'Monthly Log'!K41)/'Monthly Log'!B41))</f>
        <v/>
      </c>
      <c r="F41" s="45" t="str">
        <f aca="false">IF('Monthly Log'!B41="","",IF(B41=0,0,'Monthly Log'!N41/B41))</f>
        <v/>
      </c>
      <c r="G41" s="44" t="str">
        <f aca="false">IF('Monthly Log'!B41="","",IF('Monthly Log'!B41=0,0,'Monthly Log'!P41/'Monthly Log'!B41))</f>
        <v/>
      </c>
      <c r="H41" s="45" t="str">
        <f aca="false">IF('Monthly Log'!B41="","",AVERAGE(MIN(E41*100/20*100,100),MIN(F41/6*100,100),MAX(0,100-G41*100*4),IF(C41&gt;=0,100,MAX(0,100+(IF('Monthly Log'!B41=0,0,C41/'Monthly Log'!B41*100)*2)))))</f>
        <v/>
      </c>
      <c r="I41" s="43" t="str">
        <f aca="false">IF('Monthly Log'!B41="","",B41*12*25)</f>
        <v/>
      </c>
      <c r="J41" s="44" t="str">
        <f aca="false">IF('Monthly Log'!B41="","",IF(I41=0,0,('Monthly Log'!L41+'Monthly Log'!M41)/I41))</f>
        <v/>
      </c>
      <c r="K41" s="43" t="str">
        <f aca="false">IF('Monthly Log'!B41="","",'Monthly Log'!C41+'Monthly Log'!D41+'Monthly Log'!E41+'Monthly Log'!F41+'Monthly Log'!P41)</f>
        <v/>
      </c>
      <c r="L41" s="43" t="str">
        <f aca="false">IF('Monthly Log'!B41="","",'Monthly Log'!G41+'Monthly Log'!H41+'Monthly Log'!I41)</f>
        <v/>
      </c>
      <c r="M41" s="43" t="str">
        <f aca="false">IF('Monthly Log'!B41="","",'Monthly Log'!J41+'Monthly Log'!K41)</f>
        <v/>
      </c>
      <c r="N41" s="44" t="str">
        <f aca="false">IF('Monthly Log'!B41="","",IF('Monthly Log'!B41=0,0,K41/'Monthly Log'!B41))</f>
        <v/>
      </c>
      <c r="O41" s="44" t="str">
        <f aca="false">IF('Monthly Log'!B41="","",IF('Monthly Log'!B41=0,0,L41/'Monthly Log'!B41))</f>
        <v/>
      </c>
      <c r="P41" s="44" t="str">
        <f aca="false">IF('Monthly Log'!B41="","",IF('Monthly Log'!B41=0,0,M41/'Monthly Log'!B41))</f>
        <v/>
      </c>
      <c r="Q41" s="43" t="e">
        <f aca="false">IF(D41="",NA(),D41)</f>
        <v>#N/A</v>
      </c>
      <c r="R41" s="44" t="e">
        <f aca="false">IF(E41="",NA(),E41)</f>
        <v>#N/A</v>
      </c>
      <c r="S41" s="43" t="e">
        <f aca="false">IF(C41="",NA(),C41)</f>
        <v>#N/A</v>
      </c>
      <c r="T41" s="44" t="e">
        <f aca="false">IF(J41="",NA(),J41)</f>
        <v>#N/A</v>
      </c>
      <c r="U41" s="45" t="e">
        <f aca="false">IF(H41="",NA(),H41)</f>
        <v>#N/A</v>
      </c>
    </row>
    <row r="42" customFormat="false" ht="15" hidden="false" customHeight="false" outlineLevel="0" collapsed="false">
      <c r="A42" s="43" t="str">
        <f aca="false">IF('Monthly Log'!B42="","",'Monthly Log'!C42+'Monthly Log'!D42+'Monthly Log'!E42+'Monthly Log'!F42+'Monthly Log'!G42+'Monthly Log'!H42)</f>
        <v/>
      </c>
      <c r="B42" s="43" t="str">
        <f aca="false">IF('Monthly Log'!B42="","",A42+'Monthly Log'!I42)</f>
        <v/>
      </c>
      <c r="C42" s="43" t="str">
        <f aca="false">IF('Monthly Log'!B42="","",'Monthly Log'!B42-A42-'Monthly Log'!I42-'Monthly Log'!P42-'Monthly Log'!J42-'Monthly Log'!K42)</f>
        <v/>
      </c>
      <c r="D42" s="43" t="str">
        <f aca="false">IF('Monthly Log'!B42="","",'Monthly Log'!L42+'Monthly Log'!M42+'Monthly Log'!N42-'Monthly Log'!O42)</f>
        <v/>
      </c>
      <c r="E42" s="44" t="str">
        <f aca="false">IF('Monthly Log'!B42="","",IF('Monthly Log'!B42=0,0,('Monthly Log'!J42+'Monthly Log'!K42)/'Monthly Log'!B42))</f>
        <v/>
      </c>
      <c r="F42" s="45" t="str">
        <f aca="false">IF('Monthly Log'!B42="","",IF(B42=0,0,'Monthly Log'!N42/B42))</f>
        <v/>
      </c>
      <c r="G42" s="44" t="str">
        <f aca="false">IF('Monthly Log'!B42="","",IF('Monthly Log'!B42=0,0,'Monthly Log'!P42/'Monthly Log'!B42))</f>
        <v/>
      </c>
      <c r="H42" s="45" t="str">
        <f aca="false">IF('Monthly Log'!B42="","",AVERAGE(MIN(E42*100/20*100,100),MIN(F42/6*100,100),MAX(0,100-G42*100*4),IF(C42&gt;=0,100,MAX(0,100+(IF('Monthly Log'!B42=0,0,C42/'Monthly Log'!B42*100)*2)))))</f>
        <v/>
      </c>
      <c r="I42" s="43" t="str">
        <f aca="false">IF('Monthly Log'!B42="","",B42*12*25)</f>
        <v/>
      </c>
      <c r="J42" s="44" t="str">
        <f aca="false">IF('Monthly Log'!B42="","",IF(I42=0,0,('Monthly Log'!L42+'Monthly Log'!M42)/I42))</f>
        <v/>
      </c>
      <c r="K42" s="43" t="str">
        <f aca="false">IF('Monthly Log'!B42="","",'Monthly Log'!C42+'Monthly Log'!D42+'Monthly Log'!E42+'Monthly Log'!F42+'Monthly Log'!P42)</f>
        <v/>
      </c>
      <c r="L42" s="43" t="str">
        <f aca="false">IF('Monthly Log'!B42="","",'Monthly Log'!G42+'Monthly Log'!H42+'Monthly Log'!I42)</f>
        <v/>
      </c>
      <c r="M42" s="43" t="str">
        <f aca="false">IF('Monthly Log'!B42="","",'Monthly Log'!J42+'Monthly Log'!K42)</f>
        <v/>
      </c>
      <c r="N42" s="44" t="str">
        <f aca="false">IF('Monthly Log'!B42="","",IF('Monthly Log'!B42=0,0,K42/'Monthly Log'!B42))</f>
        <v/>
      </c>
      <c r="O42" s="44" t="str">
        <f aca="false">IF('Monthly Log'!B42="","",IF('Monthly Log'!B42=0,0,L42/'Monthly Log'!B42))</f>
        <v/>
      </c>
      <c r="P42" s="44" t="str">
        <f aca="false">IF('Monthly Log'!B42="","",IF('Monthly Log'!B42=0,0,M42/'Monthly Log'!B42))</f>
        <v/>
      </c>
      <c r="Q42" s="43" t="e">
        <f aca="false">IF(D42="",NA(),D42)</f>
        <v>#N/A</v>
      </c>
      <c r="R42" s="44" t="e">
        <f aca="false">IF(E42="",NA(),E42)</f>
        <v>#N/A</v>
      </c>
      <c r="S42" s="43" t="e">
        <f aca="false">IF(C42="",NA(),C42)</f>
        <v>#N/A</v>
      </c>
      <c r="T42" s="44" t="e">
        <f aca="false">IF(J42="",NA(),J42)</f>
        <v>#N/A</v>
      </c>
      <c r="U42" s="45" t="e">
        <f aca="false">IF(H42="",NA(),H42)</f>
        <v>#N/A</v>
      </c>
    </row>
    <row r="43" customFormat="false" ht="15" hidden="false" customHeight="false" outlineLevel="0" collapsed="false">
      <c r="A43" s="43" t="str">
        <f aca="false">IF('Monthly Log'!B43="","",'Monthly Log'!C43+'Monthly Log'!D43+'Monthly Log'!E43+'Monthly Log'!F43+'Monthly Log'!G43+'Monthly Log'!H43)</f>
        <v/>
      </c>
      <c r="B43" s="43" t="str">
        <f aca="false">IF('Monthly Log'!B43="","",A43+'Monthly Log'!I43)</f>
        <v/>
      </c>
      <c r="C43" s="43" t="str">
        <f aca="false">IF('Monthly Log'!B43="","",'Monthly Log'!B43-A43-'Monthly Log'!I43-'Monthly Log'!P43-'Monthly Log'!J43-'Monthly Log'!K43)</f>
        <v/>
      </c>
      <c r="D43" s="43" t="str">
        <f aca="false">IF('Monthly Log'!B43="","",'Monthly Log'!L43+'Monthly Log'!M43+'Monthly Log'!N43-'Monthly Log'!O43)</f>
        <v/>
      </c>
      <c r="E43" s="44" t="str">
        <f aca="false">IF('Monthly Log'!B43="","",IF('Monthly Log'!B43=0,0,('Monthly Log'!J43+'Monthly Log'!K43)/'Monthly Log'!B43))</f>
        <v/>
      </c>
      <c r="F43" s="45" t="str">
        <f aca="false">IF('Monthly Log'!B43="","",IF(B43=0,0,'Monthly Log'!N43/B43))</f>
        <v/>
      </c>
      <c r="G43" s="44" t="str">
        <f aca="false">IF('Monthly Log'!B43="","",IF('Monthly Log'!B43=0,0,'Monthly Log'!P43/'Monthly Log'!B43))</f>
        <v/>
      </c>
      <c r="H43" s="45" t="str">
        <f aca="false">IF('Monthly Log'!B43="","",AVERAGE(MIN(E43*100/20*100,100),MIN(F43/6*100,100),MAX(0,100-G43*100*4),IF(C43&gt;=0,100,MAX(0,100+(IF('Monthly Log'!B43=0,0,C43/'Monthly Log'!B43*100)*2)))))</f>
        <v/>
      </c>
      <c r="I43" s="43" t="str">
        <f aca="false">IF('Monthly Log'!B43="","",B43*12*25)</f>
        <v/>
      </c>
      <c r="J43" s="44" t="str">
        <f aca="false">IF('Monthly Log'!B43="","",IF(I43=0,0,('Monthly Log'!L43+'Monthly Log'!M43)/I43))</f>
        <v/>
      </c>
      <c r="K43" s="43" t="str">
        <f aca="false">IF('Monthly Log'!B43="","",'Monthly Log'!C43+'Monthly Log'!D43+'Monthly Log'!E43+'Monthly Log'!F43+'Monthly Log'!P43)</f>
        <v/>
      </c>
      <c r="L43" s="43" t="str">
        <f aca="false">IF('Monthly Log'!B43="","",'Monthly Log'!G43+'Monthly Log'!H43+'Monthly Log'!I43)</f>
        <v/>
      </c>
      <c r="M43" s="43" t="str">
        <f aca="false">IF('Monthly Log'!B43="","",'Monthly Log'!J43+'Monthly Log'!K43)</f>
        <v/>
      </c>
      <c r="N43" s="44" t="str">
        <f aca="false">IF('Monthly Log'!B43="","",IF('Monthly Log'!B43=0,0,K43/'Monthly Log'!B43))</f>
        <v/>
      </c>
      <c r="O43" s="44" t="str">
        <f aca="false">IF('Monthly Log'!B43="","",IF('Monthly Log'!B43=0,0,L43/'Monthly Log'!B43))</f>
        <v/>
      </c>
      <c r="P43" s="44" t="str">
        <f aca="false">IF('Monthly Log'!B43="","",IF('Monthly Log'!B43=0,0,M43/'Monthly Log'!B43))</f>
        <v/>
      </c>
      <c r="Q43" s="43" t="e">
        <f aca="false">IF(D43="",NA(),D43)</f>
        <v>#N/A</v>
      </c>
      <c r="R43" s="44" t="e">
        <f aca="false">IF(E43="",NA(),E43)</f>
        <v>#N/A</v>
      </c>
      <c r="S43" s="43" t="e">
        <f aca="false">IF(C43="",NA(),C43)</f>
        <v>#N/A</v>
      </c>
      <c r="T43" s="44" t="e">
        <f aca="false">IF(J43="",NA(),J43)</f>
        <v>#N/A</v>
      </c>
      <c r="U43" s="45" t="e">
        <f aca="false">IF(H43="",NA(),H43)</f>
        <v>#N/A</v>
      </c>
    </row>
    <row r="44" customFormat="false" ht="15" hidden="false" customHeight="false" outlineLevel="0" collapsed="false">
      <c r="A44" s="43" t="str">
        <f aca="false">IF('Monthly Log'!B44="","",'Monthly Log'!C44+'Monthly Log'!D44+'Monthly Log'!E44+'Monthly Log'!F44+'Monthly Log'!G44+'Monthly Log'!H44)</f>
        <v/>
      </c>
      <c r="B44" s="43" t="str">
        <f aca="false">IF('Monthly Log'!B44="","",A44+'Monthly Log'!I44)</f>
        <v/>
      </c>
      <c r="C44" s="43" t="str">
        <f aca="false">IF('Monthly Log'!B44="","",'Monthly Log'!B44-A44-'Monthly Log'!I44-'Monthly Log'!P44-'Monthly Log'!J44-'Monthly Log'!K44)</f>
        <v/>
      </c>
      <c r="D44" s="43" t="str">
        <f aca="false">IF('Monthly Log'!B44="","",'Monthly Log'!L44+'Monthly Log'!M44+'Monthly Log'!N44-'Monthly Log'!O44)</f>
        <v/>
      </c>
      <c r="E44" s="44" t="str">
        <f aca="false">IF('Monthly Log'!B44="","",IF('Monthly Log'!B44=0,0,('Monthly Log'!J44+'Monthly Log'!K44)/'Monthly Log'!B44))</f>
        <v/>
      </c>
      <c r="F44" s="45" t="str">
        <f aca="false">IF('Monthly Log'!B44="","",IF(B44=0,0,'Monthly Log'!N44/B44))</f>
        <v/>
      </c>
      <c r="G44" s="44" t="str">
        <f aca="false">IF('Monthly Log'!B44="","",IF('Monthly Log'!B44=0,0,'Monthly Log'!P44/'Monthly Log'!B44))</f>
        <v/>
      </c>
      <c r="H44" s="45" t="str">
        <f aca="false">IF('Monthly Log'!B44="","",AVERAGE(MIN(E44*100/20*100,100),MIN(F44/6*100,100),MAX(0,100-G44*100*4),IF(C44&gt;=0,100,MAX(0,100+(IF('Monthly Log'!B44=0,0,C44/'Monthly Log'!B44*100)*2)))))</f>
        <v/>
      </c>
      <c r="I44" s="43" t="str">
        <f aca="false">IF('Monthly Log'!B44="","",B44*12*25)</f>
        <v/>
      </c>
      <c r="J44" s="44" t="str">
        <f aca="false">IF('Monthly Log'!B44="","",IF(I44=0,0,('Monthly Log'!L44+'Monthly Log'!M44)/I44))</f>
        <v/>
      </c>
      <c r="K44" s="43" t="str">
        <f aca="false">IF('Monthly Log'!B44="","",'Monthly Log'!C44+'Monthly Log'!D44+'Monthly Log'!E44+'Monthly Log'!F44+'Monthly Log'!P44)</f>
        <v/>
      </c>
      <c r="L44" s="43" t="str">
        <f aca="false">IF('Monthly Log'!B44="","",'Monthly Log'!G44+'Monthly Log'!H44+'Monthly Log'!I44)</f>
        <v/>
      </c>
      <c r="M44" s="43" t="str">
        <f aca="false">IF('Monthly Log'!B44="","",'Monthly Log'!J44+'Monthly Log'!K44)</f>
        <v/>
      </c>
      <c r="N44" s="44" t="str">
        <f aca="false">IF('Monthly Log'!B44="","",IF('Monthly Log'!B44=0,0,K44/'Monthly Log'!B44))</f>
        <v/>
      </c>
      <c r="O44" s="44" t="str">
        <f aca="false">IF('Monthly Log'!B44="","",IF('Monthly Log'!B44=0,0,L44/'Monthly Log'!B44))</f>
        <v/>
      </c>
      <c r="P44" s="44" t="str">
        <f aca="false">IF('Monthly Log'!B44="","",IF('Monthly Log'!B44=0,0,M44/'Monthly Log'!B44))</f>
        <v/>
      </c>
      <c r="Q44" s="43" t="e">
        <f aca="false">IF(D44="",NA(),D44)</f>
        <v>#N/A</v>
      </c>
      <c r="R44" s="44" t="e">
        <f aca="false">IF(E44="",NA(),E44)</f>
        <v>#N/A</v>
      </c>
      <c r="S44" s="43" t="e">
        <f aca="false">IF(C44="",NA(),C44)</f>
        <v>#N/A</v>
      </c>
      <c r="T44" s="44" t="e">
        <f aca="false">IF(J44="",NA(),J44)</f>
        <v>#N/A</v>
      </c>
      <c r="U44" s="45" t="e">
        <f aca="false">IF(H44="",NA(),H44)</f>
        <v>#N/A</v>
      </c>
    </row>
    <row r="45" customFormat="false" ht="15" hidden="false" customHeight="false" outlineLevel="0" collapsed="false">
      <c r="A45" s="43" t="str">
        <f aca="false">IF('Monthly Log'!B45="","",'Monthly Log'!C45+'Monthly Log'!D45+'Monthly Log'!E45+'Monthly Log'!F45+'Monthly Log'!G45+'Monthly Log'!H45)</f>
        <v/>
      </c>
      <c r="B45" s="43" t="str">
        <f aca="false">IF('Monthly Log'!B45="","",A45+'Monthly Log'!I45)</f>
        <v/>
      </c>
      <c r="C45" s="43" t="str">
        <f aca="false">IF('Monthly Log'!B45="","",'Monthly Log'!B45-A45-'Monthly Log'!I45-'Monthly Log'!P45-'Monthly Log'!J45-'Monthly Log'!K45)</f>
        <v/>
      </c>
      <c r="D45" s="43" t="str">
        <f aca="false">IF('Monthly Log'!B45="","",'Monthly Log'!L45+'Monthly Log'!M45+'Monthly Log'!N45-'Monthly Log'!O45)</f>
        <v/>
      </c>
      <c r="E45" s="44" t="str">
        <f aca="false">IF('Monthly Log'!B45="","",IF('Monthly Log'!B45=0,0,('Monthly Log'!J45+'Monthly Log'!K45)/'Monthly Log'!B45))</f>
        <v/>
      </c>
      <c r="F45" s="45" t="str">
        <f aca="false">IF('Monthly Log'!B45="","",IF(B45=0,0,'Monthly Log'!N45/B45))</f>
        <v/>
      </c>
      <c r="G45" s="44" t="str">
        <f aca="false">IF('Monthly Log'!B45="","",IF('Monthly Log'!B45=0,0,'Monthly Log'!P45/'Monthly Log'!B45))</f>
        <v/>
      </c>
      <c r="H45" s="45" t="str">
        <f aca="false">IF('Monthly Log'!B45="","",AVERAGE(MIN(E45*100/20*100,100),MIN(F45/6*100,100),MAX(0,100-G45*100*4),IF(C45&gt;=0,100,MAX(0,100+(IF('Monthly Log'!B45=0,0,C45/'Monthly Log'!B45*100)*2)))))</f>
        <v/>
      </c>
      <c r="I45" s="43" t="str">
        <f aca="false">IF('Monthly Log'!B45="","",B45*12*25)</f>
        <v/>
      </c>
      <c r="J45" s="44" t="str">
        <f aca="false">IF('Monthly Log'!B45="","",IF(I45=0,0,('Monthly Log'!L45+'Monthly Log'!M45)/I45))</f>
        <v/>
      </c>
      <c r="K45" s="43" t="str">
        <f aca="false">IF('Monthly Log'!B45="","",'Monthly Log'!C45+'Monthly Log'!D45+'Monthly Log'!E45+'Monthly Log'!F45+'Monthly Log'!P45)</f>
        <v/>
      </c>
      <c r="L45" s="43" t="str">
        <f aca="false">IF('Monthly Log'!B45="","",'Monthly Log'!G45+'Monthly Log'!H45+'Monthly Log'!I45)</f>
        <v/>
      </c>
      <c r="M45" s="43" t="str">
        <f aca="false">IF('Monthly Log'!B45="","",'Monthly Log'!J45+'Monthly Log'!K45)</f>
        <v/>
      </c>
      <c r="N45" s="44" t="str">
        <f aca="false">IF('Monthly Log'!B45="","",IF('Monthly Log'!B45=0,0,K45/'Monthly Log'!B45))</f>
        <v/>
      </c>
      <c r="O45" s="44" t="str">
        <f aca="false">IF('Monthly Log'!B45="","",IF('Monthly Log'!B45=0,0,L45/'Monthly Log'!B45))</f>
        <v/>
      </c>
      <c r="P45" s="44" t="str">
        <f aca="false">IF('Monthly Log'!B45="","",IF('Monthly Log'!B45=0,0,M45/'Monthly Log'!B45))</f>
        <v/>
      </c>
      <c r="Q45" s="43" t="e">
        <f aca="false">IF(D45="",NA(),D45)</f>
        <v>#N/A</v>
      </c>
      <c r="R45" s="44" t="e">
        <f aca="false">IF(E45="",NA(),E45)</f>
        <v>#N/A</v>
      </c>
      <c r="S45" s="43" t="e">
        <f aca="false">IF(C45="",NA(),C45)</f>
        <v>#N/A</v>
      </c>
      <c r="T45" s="44" t="e">
        <f aca="false">IF(J45="",NA(),J45)</f>
        <v>#N/A</v>
      </c>
      <c r="U45" s="45" t="e">
        <f aca="false">IF(H45="",NA(),H45)</f>
        <v>#N/A</v>
      </c>
    </row>
    <row r="46" customFormat="false" ht="15" hidden="false" customHeight="false" outlineLevel="0" collapsed="false">
      <c r="A46" s="43" t="str">
        <f aca="false">IF('Monthly Log'!B46="","",'Monthly Log'!C46+'Monthly Log'!D46+'Monthly Log'!E46+'Monthly Log'!F46+'Monthly Log'!G46+'Monthly Log'!H46)</f>
        <v/>
      </c>
      <c r="B46" s="43" t="str">
        <f aca="false">IF('Monthly Log'!B46="","",A46+'Monthly Log'!I46)</f>
        <v/>
      </c>
      <c r="C46" s="43" t="str">
        <f aca="false">IF('Monthly Log'!B46="","",'Monthly Log'!B46-A46-'Monthly Log'!I46-'Monthly Log'!P46-'Monthly Log'!J46-'Monthly Log'!K46)</f>
        <v/>
      </c>
      <c r="D46" s="43" t="str">
        <f aca="false">IF('Monthly Log'!B46="","",'Monthly Log'!L46+'Monthly Log'!M46+'Monthly Log'!N46-'Monthly Log'!O46)</f>
        <v/>
      </c>
      <c r="E46" s="44" t="str">
        <f aca="false">IF('Monthly Log'!B46="","",IF('Monthly Log'!B46=0,0,('Monthly Log'!J46+'Monthly Log'!K46)/'Monthly Log'!B46))</f>
        <v/>
      </c>
      <c r="F46" s="45" t="str">
        <f aca="false">IF('Monthly Log'!B46="","",IF(B46=0,0,'Monthly Log'!N46/B46))</f>
        <v/>
      </c>
      <c r="G46" s="44" t="str">
        <f aca="false">IF('Monthly Log'!B46="","",IF('Monthly Log'!B46=0,0,'Monthly Log'!P46/'Monthly Log'!B46))</f>
        <v/>
      </c>
      <c r="H46" s="45" t="str">
        <f aca="false">IF('Monthly Log'!B46="","",AVERAGE(MIN(E46*100/20*100,100),MIN(F46/6*100,100),MAX(0,100-G46*100*4),IF(C46&gt;=0,100,MAX(0,100+(IF('Monthly Log'!B46=0,0,C46/'Monthly Log'!B46*100)*2)))))</f>
        <v/>
      </c>
      <c r="I46" s="43" t="str">
        <f aca="false">IF('Monthly Log'!B46="","",B46*12*25)</f>
        <v/>
      </c>
      <c r="J46" s="44" t="str">
        <f aca="false">IF('Monthly Log'!B46="","",IF(I46=0,0,('Monthly Log'!L46+'Monthly Log'!M46)/I46))</f>
        <v/>
      </c>
      <c r="K46" s="43" t="str">
        <f aca="false">IF('Monthly Log'!B46="","",'Monthly Log'!C46+'Monthly Log'!D46+'Monthly Log'!E46+'Monthly Log'!F46+'Monthly Log'!P46)</f>
        <v/>
      </c>
      <c r="L46" s="43" t="str">
        <f aca="false">IF('Monthly Log'!B46="","",'Monthly Log'!G46+'Monthly Log'!H46+'Monthly Log'!I46)</f>
        <v/>
      </c>
      <c r="M46" s="43" t="str">
        <f aca="false">IF('Monthly Log'!B46="","",'Monthly Log'!J46+'Monthly Log'!K46)</f>
        <v/>
      </c>
      <c r="N46" s="44" t="str">
        <f aca="false">IF('Monthly Log'!B46="","",IF('Monthly Log'!B46=0,0,K46/'Monthly Log'!B46))</f>
        <v/>
      </c>
      <c r="O46" s="44" t="str">
        <f aca="false">IF('Monthly Log'!B46="","",IF('Monthly Log'!B46=0,0,L46/'Monthly Log'!B46))</f>
        <v/>
      </c>
      <c r="P46" s="44" t="str">
        <f aca="false">IF('Monthly Log'!B46="","",IF('Monthly Log'!B46=0,0,M46/'Monthly Log'!B46))</f>
        <v/>
      </c>
      <c r="Q46" s="43" t="e">
        <f aca="false">IF(D46="",NA(),D46)</f>
        <v>#N/A</v>
      </c>
      <c r="R46" s="44" t="e">
        <f aca="false">IF(E46="",NA(),E46)</f>
        <v>#N/A</v>
      </c>
      <c r="S46" s="43" t="e">
        <f aca="false">IF(C46="",NA(),C46)</f>
        <v>#N/A</v>
      </c>
      <c r="T46" s="44" t="e">
        <f aca="false">IF(J46="",NA(),J46)</f>
        <v>#N/A</v>
      </c>
      <c r="U46" s="45" t="e">
        <f aca="false">IF(H46="",NA(),H46)</f>
        <v>#N/A</v>
      </c>
    </row>
    <row r="47" customFormat="false" ht="15" hidden="false" customHeight="false" outlineLevel="0" collapsed="false">
      <c r="A47" s="43" t="str">
        <f aca="false">IF('Monthly Log'!B47="","",'Monthly Log'!C47+'Monthly Log'!D47+'Monthly Log'!E47+'Monthly Log'!F47+'Monthly Log'!G47+'Monthly Log'!H47)</f>
        <v/>
      </c>
      <c r="B47" s="43" t="str">
        <f aca="false">IF('Monthly Log'!B47="","",A47+'Monthly Log'!I47)</f>
        <v/>
      </c>
      <c r="C47" s="43" t="str">
        <f aca="false">IF('Monthly Log'!B47="","",'Monthly Log'!B47-A47-'Monthly Log'!I47-'Monthly Log'!P47-'Monthly Log'!J47-'Monthly Log'!K47)</f>
        <v/>
      </c>
      <c r="D47" s="43" t="str">
        <f aca="false">IF('Monthly Log'!B47="","",'Monthly Log'!L47+'Monthly Log'!M47+'Monthly Log'!N47-'Monthly Log'!O47)</f>
        <v/>
      </c>
      <c r="E47" s="44" t="str">
        <f aca="false">IF('Monthly Log'!B47="","",IF('Monthly Log'!B47=0,0,('Monthly Log'!J47+'Monthly Log'!K47)/'Monthly Log'!B47))</f>
        <v/>
      </c>
      <c r="F47" s="45" t="str">
        <f aca="false">IF('Monthly Log'!B47="","",IF(B47=0,0,'Monthly Log'!N47/B47))</f>
        <v/>
      </c>
      <c r="G47" s="44" t="str">
        <f aca="false">IF('Monthly Log'!B47="","",IF('Monthly Log'!B47=0,0,'Monthly Log'!P47/'Monthly Log'!B47))</f>
        <v/>
      </c>
      <c r="H47" s="45" t="str">
        <f aca="false">IF('Monthly Log'!B47="","",AVERAGE(MIN(E47*100/20*100,100),MIN(F47/6*100,100),MAX(0,100-G47*100*4),IF(C47&gt;=0,100,MAX(0,100+(IF('Monthly Log'!B47=0,0,C47/'Monthly Log'!B47*100)*2)))))</f>
        <v/>
      </c>
      <c r="I47" s="43" t="str">
        <f aca="false">IF('Monthly Log'!B47="","",B47*12*25)</f>
        <v/>
      </c>
      <c r="J47" s="44" t="str">
        <f aca="false">IF('Monthly Log'!B47="","",IF(I47=0,0,('Monthly Log'!L47+'Monthly Log'!M47)/I47))</f>
        <v/>
      </c>
      <c r="K47" s="43" t="str">
        <f aca="false">IF('Monthly Log'!B47="","",'Monthly Log'!C47+'Monthly Log'!D47+'Monthly Log'!E47+'Monthly Log'!F47+'Monthly Log'!P47)</f>
        <v/>
      </c>
      <c r="L47" s="43" t="str">
        <f aca="false">IF('Monthly Log'!B47="","",'Monthly Log'!G47+'Monthly Log'!H47+'Monthly Log'!I47)</f>
        <v/>
      </c>
      <c r="M47" s="43" t="str">
        <f aca="false">IF('Monthly Log'!B47="","",'Monthly Log'!J47+'Monthly Log'!K47)</f>
        <v/>
      </c>
      <c r="N47" s="44" t="str">
        <f aca="false">IF('Monthly Log'!B47="","",IF('Monthly Log'!B47=0,0,K47/'Monthly Log'!B47))</f>
        <v/>
      </c>
      <c r="O47" s="44" t="str">
        <f aca="false">IF('Monthly Log'!B47="","",IF('Monthly Log'!B47=0,0,L47/'Monthly Log'!B47))</f>
        <v/>
      </c>
      <c r="P47" s="44" t="str">
        <f aca="false">IF('Monthly Log'!B47="","",IF('Monthly Log'!B47=0,0,M47/'Monthly Log'!B47))</f>
        <v/>
      </c>
      <c r="Q47" s="43" t="e">
        <f aca="false">IF(D47="",NA(),D47)</f>
        <v>#N/A</v>
      </c>
      <c r="R47" s="44" t="e">
        <f aca="false">IF(E47="",NA(),E47)</f>
        <v>#N/A</v>
      </c>
      <c r="S47" s="43" t="e">
        <f aca="false">IF(C47="",NA(),C47)</f>
        <v>#N/A</v>
      </c>
      <c r="T47" s="44" t="e">
        <f aca="false">IF(J47="",NA(),J47)</f>
        <v>#N/A</v>
      </c>
      <c r="U47" s="45" t="e">
        <f aca="false">IF(H47="",NA(),H47)</f>
        <v>#N/A</v>
      </c>
    </row>
    <row r="48" customFormat="false" ht="15" hidden="false" customHeight="false" outlineLevel="0" collapsed="false">
      <c r="A48" s="43" t="str">
        <f aca="false">IF('Monthly Log'!B48="","",'Monthly Log'!C48+'Monthly Log'!D48+'Monthly Log'!E48+'Monthly Log'!F48+'Monthly Log'!G48+'Monthly Log'!H48)</f>
        <v/>
      </c>
      <c r="B48" s="43" t="str">
        <f aca="false">IF('Monthly Log'!B48="","",A48+'Monthly Log'!I48)</f>
        <v/>
      </c>
      <c r="C48" s="43" t="str">
        <f aca="false">IF('Monthly Log'!B48="","",'Monthly Log'!B48-A48-'Monthly Log'!I48-'Monthly Log'!P48-'Monthly Log'!J48-'Monthly Log'!K48)</f>
        <v/>
      </c>
      <c r="D48" s="43" t="str">
        <f aca="false">IF('Monthly Log'!B48="","",'Monthly Log'!L48+'Monthly Log'!M48+'Monthly Log'!N48-'Monthly Log'!O48)</f>
        <v/>
      </c>
      <c r="E48" s="44" t="str">
        <f aca="false">IF('Monthly Log'!B48="","",IF('Monthly Log'!B48=0,0,('Monthly Log'!J48+'Monthly Log'!K48)/'Monthly Log'!B48))</f>
        <v/>
      </c>
      <c r="F48" s="45" t="str">
        <f aca="false">IF('Monthly Log'!B48="","",IF(B48=0,0,'Monthly Log'!N48/B48))</f>
        <v/>
      </c>
      <c r="G48" s="44" t="str">
        <f aca="false">IF('Monthly Log'!B48="","",IF('Monthly Log'!B48=0,0,'Monthly Log'!P48/'Monthly Log'!B48))</f>
        <v/>
      </c>
      <c r="H48" s="45" t="str">
        <f aca="false">IF('Monthly Log'!B48="","",AVERAGE(MIN(E48*100/20*100,100),MIN(F48/6*100,100),MAX(0,100-G48*100*4),IF(C48&gt;=0,100,MAX(0,100+(IF('Monthly Log'!B48=0,0,C48/'Monthly Log'!B48*100)*2)))))</f>
        <v/>
      </c>
      <c r="I48" s="43" t="str">
        <f aca="false">IF('Monthly Log'!B48="","",B48*12*25)</f>
        <v/>
      </c>
      <c r="J48" s="44" t="str">
        <f aca="false">IF('Monthly Log'!B48="","",IF(I48=0,0,('Monthly Log'!L48+'Monthly Log'!M48)/I48))</f>
        <v/>
      </c>
      <c r="K48" s="43" t="str">
        <f aca="false">IF('Monthly Log'!B48="","",'Monthly Log'!C48+'Monthly Log'!D48+'Monthly Log'!E48+'Monthly Log'!F48+'Monthly Log'!P48)</f>
        <v/>
      </c>
      <c r="L48" s="43" t="str">
        <f aca="false">IF('Monthly Log'!B48="","",'Monthly Log'!G48+'Monthly Log'!H48+'Monthly Log'!I48)</f>
        <v/>
      </c>
      <c r="M48" s="43" t="str">
        <f aca="false">IF('Monthly Log'!B48="","",'Monthly Log'!J48+'Monthly Log'!K48)</f>
        <v/>
      </c>
      <c r="N48" s="44" t="str">
        <f aca="false">IF('Monthly Log'!B48="","",IF('Monthly Log'!B48=0,0,K48/'Monthly Log'!B48))</f>
        <v/>
      </c>
      <c r="O48" s="44" t="str">
        <f aca="false">IF('Monthly Log'!B48="","",IF('Monthly Log'!B48=0,0,L48/'Monthly Log'!B48))</f>
        <v/>
      </c>
      <c r="P48" s="44" t="str">
        <f aca="false">IF('Monthly Log'!B48="","",IF('Monthly Log'!B48=0,0,M48/'Monthly Log'!B48))</f>
        <v/>
      </c>
      <c r="Q48" s="43" t="e">
        <f aca="false">IF(D48="",NA(),D48)</f>
        <v>#N/A</v>
      </c>
      <c r="R48" s="44" t="e">
        <f aca="false">IF(E48="",NA(),E48)</f>
        <v>#N/A</v>
      </c>
      <c r="S48" s="43" t="e">
        <f aca="false">IF(C48="",NA(),C48)</f>
        <v>#N/A</v>
      </c>
      <c r="T48" s="44" t="e">
        <f aca="false">IF(J48="",NA(),J48)</f>
        <v>#N/A</v>
      </c>
      <c r="U48" s="45" t="e">
        <f aca="false">IF(H48="",NA(),H48)</f>
        <v>#N/A</v>
      </c>
    </row>
    <row r="49" customFormat="false" ht="15" hidden="false" customHeight="false" outlineLevel="0" collapsed="false">
      <c r="A49" s="43" t="str">
        <f aca="false">IF('Monthly Log'!B49="","",'Monthly Log'!C49+'Monthly Log'!D49+'Monthly Log'!E49+'Monthly Log'!F49+'Monthly Log'!G49+'Monthly Log'!H49)</f>
        <v/>
      </c>
      <c r="B49" s="43" t="str">
        <f aca="false">IF('Monthly Log'!B49="","",A49+'Monthly Log'!I49)</f>
        <v/>
      </c>
      <c r="C49" s="43" t="str">
        <f aca="false">IF('Monthly Log'!B49="","",'Monthly Log'!B49-A49-'Monthly Log'!I49-'Monthly Log'!P49-'Monthly Log'!J49-'Monthly Log'!K49)</f>
        <v/>
      </c>
      <c r="D49" s="43" t="str">
        <f aca="false">IF('Monthly Log'!B49="","",'Monthly Log'!L49+'Monthly Log'!M49+'Monthly Log'!N49-'Monthly Log'!O49)</f>
        <v/>
      </c>
      <c r="E49" s="44" t="str">
        <f aca="false">IF('Monthly Log'!B49="","",IF('Monthly Log'!B49=0,0,('Monthly Log'!J49+'Monthly Log'!K49)/'Monthly Log'!B49))</f>
        <v/>
      </c>
      <c r="F49" s="45" t="str">
        <f aca="false">IF('Monthly Log'!B49="","",IF(B49=0,0,'Monthly Log'!N49/B49))</f>
        <v/>
      </c>
      <c r="G49" s="44" t="str">
        <f aca="false">IF('Monthly Log'!B49="","",IF('Monthly Log'!B49=0,0,'Monthly Log'!P49/'Monthly Log'!B49))</f>
        <v/>
      </c>
      <c r="H49" s="45" t="str">
        <f aca="false">IF('Monthly Log'!B49="","",AVERAGE(MIN(E49*100/20*100,100),MIN(F49/6*100,100),MAX(0,100-G49*100*4),IF(C49&gt;=0,100,MAX(0,100+(IF('Monthly Log'!B49=0,0,C49/'Monthly Log'!B49*100)*2)))))</f>
        <v/>
      </c>
      <c r="I49" s="43" t="str">
        <f aca="false">IF('Monthly Log'!B49="","",B49*12*25)</f>
        <v/>
      </c>
      <c r="J49" s="44" t="str">
        <f aca="false">IF('Monthly Log'!B49="","",IF(I49=0,0,('Monthly Log'!L49+'Monthly Log'!M49)/I49))</f>
        <v/>
      </c>
      <c r="K49" s="43" t="str">
        <f aca="false">IF('Monthly Log'!B49="","",'Monthly Log'!C49+'Monthly Log'!D49+'Monthly Log'!E49+'Monthly Log'!F49+'Monthly Log'!P49)</f>
        <v/>
      </c>
      <c r="L49" s="43" t="str">
        <f aca="false">IF('Monthly Log'!B49="","",'Monthly Log'!G49+'Monthly Log'!H49+'Monthly Log'!I49)</f>
        <v/>
      </c>
      <c r="M49" s="43" t="str">
        <f aca="false">IF('Monthly Log'!B49="","",'Monthly Log'!J49+'Monthly Log'!K49)</f>
        <v/>
      </c>
      <c r="N49" s="44" t="str">
        <f aca="false">IF('Monthly Log'!B49="","",IF('Monthly Log'!B49=0,0,K49/'Monthly Log'!B49))</f>
        <v/>
      </c>
      <c r="O49" s="44" t="str">
        <f aca="false">IF('Monthly Log'!B49="","",IF('Monthly Log'!B49=0,0,L49/'Monthly Log'!B49))</f>
        <v/>
      </c>
      <c r="P49" s="44" t="str">
        <f aca="false">IF('Monthly Log'!B49="","",IF('Monthly Log'!B49=0,0,M49/'Monthly Log'!B49))</f>
        <v/>
      </c>
      <c r="Q49" s="43" t="e">
        <f aca="false">IF(D49="",NA(),D49)</f>
        <v>#N/A</v>
      </c>
      <c r="R49" s="44" t="e">
        <f aca="false">IF(E49="",NA(),E49)</f>
        <v>#N/A</v>
      </c>
      <c r="S49" s="43" t="e">
        <f aca="false">IF(C49="",NA(),C49)</f>
        <v>#N/A</v>
      </c>
      <c r="T49" s="44" t="e">
        <f aca="false">IF(J49="",NA(),J49)</f>
        <v>#N/A</v>
      </c>
      <c r="U49" s="45" t="e">
        <f aca="false">IF(H49="",NA(),H49)</f>
        <v>#N/A</v>
      </c>
    </row>
    <row r="50" customFormat="false" ht="15" hidden="false" customHeight="false" outlineLevel="0" collapsed="false">
      <c r="A50" s="43" t="str">
        <f aca="false">IF('Monthly Log'!B50="","",'Monthly Log'!C50+'Monthly Log'!D50+'Monthly Log'!E50+'Monthly Log'!F50+'Monthly Log'!G50+'Monthly Log'!H50)</f>
        <v/>
      </c>
      <c r="B50" s="43" t="str">
        <f aca="false">IF('Monthly Log'!B50="","",A50+'Monthly Log'!I50)</f>
        <v/>
      </c>
      <c r="C50" s="43" t="str">
        <f aca="false">IF('Monthly Log'!B50="","",'Monthly Log'!B50-A50-'Monthly Log'!I50-'Monthly Log'!P50-'Monthly Log'!J50-'Monthly Log'!K50)</f>
        <v/>
      </c>
      <c r="D50" s="43" t="str">
        <f aca="false">IF('Monthly Log'!B50="","",'Monthly Log'!L50+'Monthly Log'!M50+'Monthly Log'!N50-'Monthly Log'!O50)</f>
        <v/>
      </c>
      <c r="E50" s="44" t="str">
        <f aca="false">IF('Monthly Log'!B50="","",IF('Monthly Log'!B50=0,0,('Monthly Log'!J50+'Monthly Log'!K50)/'Monthly Log'!B50))</f>
        <v/>
      </c>
      <c r="F50" s="45" t="str">
        <f aca="false">IF('Monthly Log'!B50="","",IF(B50=0,0,'Monthly Log'!N50/B50))</f>
        <v/>
      </c>
      <c r="G50" s="44" t="str">
        <f aca="false">IF('Monthly Log'!B50="","",IF('Monthly Log'!B50=0,0,'Monthly Log'!P50/'Monthly Log'!B50))</f>
        <v/>
      </c>
      <c r="H50" s="45" t="str">
        <f aca="false">IF('Monthly Log'!B50="","",AVERAGE(MIN(E50*100/20*100,100),MIN(F50/6*100,100),MAX(0,100-G50*100*4),IF(C50&gt;=0,100,MAX(0,100+(IF('Monthly Log'!B50=0,0,C50/'Monthly Log'!B50*100)*2)))))</f>
        <v/>
      </c>
      <c r="I50" s="43" t="str">
        <f aca="false">IF('Monthly Log'!B50="","",B50*12*25)</f>
        <v/>
      </c>
      <c r="J50" s="44" t="str">
        <f aca="false">IF('Monthly Log'!B50="","",IF(I50=0,0,('Monthly Log'!L50+'Monthly Log'!M50)/I50))</f>
        <v/>
      </c>
      <c r="K50" s="43" t="str">
        <f aca="false">IF('Monthly Log'!B50="","",'Monthly Log'!C50+'Monthly Log'!D50+'Monthly Log'!E50+'Monthly Log'!F50+'Monthly Log'!P50)</f>
        <v/>
      </c>
      <c r="L50" s="43" t="str">
        <f aca="false">IF('Monthly Log'!B50="","",'Monthly Log'!G50+'Monthly Log'!H50+'Monthly Log'!I50)</f>
        <v/>
      </c>
      <c r="M50" s="43" t="str">
        <f aca="false">IF('Monthly Log'!B50="","",'Monthly Log'!J50+'Monthly Log'!K50)</f>
        <v/>
      </c>
      <c r="N50" s="44" t="str">
        <f aca="false">IF('Monthly Log'!B50="","",IF('Monthly Log'!B50=0,0,K50/'Monthly Log'!B50))</f>
        <v/>
      </c>
      <c r="O50" s="44" t="str">
        <f aca="false">IF('Monthly Log'!B50="","",IF('Monthly Log'!B50=0,0,L50/'Monthly Log'!B50))</f>
        <v/>
      </c>
      <c r="P50" s="44" t="str">
        <f aca="false">IF('Monthly Log'!B50="","",IF('Monthly Log'!B50=0,0,M50/'Monthly Log'!B50))</f>
        <v/>
      </c>
      <c r="Q50" s="43" t="e">
        <f aca="false">IF(D50="",NA(),D50)</f>
        <v>#N/A</v>
      </c>
      <c r="R50" s="44" t="e">
        <f aca="false">IF(E50="",NA(),E50)</f>
        <v>#N/A</v>
      </c>
      <c r="S50" s="43" t="e">
        <f aca="false">IF(C50="",NA(),C50)</f>
        <v>#N/A</v>
      </c>
      <c r="T50" s="44" t="e">
        <f aca="false">IF(J50="",NA(),J50)</f>
        <v>#N/A</v>
      </c>
      <c r="U50" s="45" t="e">
        <f aca="false">IF(H50="",NA(),H50)</f>
        <v>#N/A</v>
      </c>
    </row>
    <row r="51" customFormat="false" ht="15" hidden="false" customHeight="false" outlineLevel="0" collapsed="false">
      <c r="A51" s="43" t="str">
        <f aca="false">IF('Monthly Log'!B51="","",'Monthly Log'!C51+'Monthly Log'!D51+'Monthly Log'!E51+'Monthly Log'!F51+'Monthly Log'!G51+'Monthly Log'!H51)</f>
        <v/>
      </c>
      <c r="B51" s="43" t="str">
        <f aca="false">IF('Monthly Log'!B51="","",A51+'Monthly Log'!I51)</f>
        <v/>
      </c>
      <c r="C51" s="43" t="str">
        <f aca="false">IF('Monthly Log'!B51="","",'Monthly Log'!B51-A51-'Monthly Log'!I51-'Monthly Log'!P51-'Monthly Log'!J51-'Monthly Log'!K51)</f>
        <v/>
      </c>
      <c r="D51" s="43" t="str">
        <f aca="false">IF('Monthly Log'!B51="","",'Monthly Log'!L51+'Monthly Log'!M51+'Monthly Log'!N51-'Monthly Log'!O51)</f>
        <v/>
      </c>
      <c r="E51" s="44" t="str">
        <f aca="false">IF('Monthly Log'!B51="","",IF('Monthly Log'!B51=0,0,('Monthly Log'!J51+'Monthly Log'!K51)/'Monthly Log'!B51))</f>
        <v/>
      </c>
      <c r="F51" s="45" t="str">
        <f aca="false">IF('Monthly Log'!B51="","",IF(B51=0,0,'Monthly Log'!N51/B51))</f>
        <v/>
      </c>
      <c r="G51" s="44" t="str">
        <f aca="false">IF('Monthly Log'!B51="","",IF('Monthly Log'!B51=0,0,'Monthly Log'!P51/'Monthly Log'!B51))</f>
        <v/>
      </c>
      <c r="H51" s="45" t="str">
        <f aca="false">IF('Monthly Log'!B51="","",AVERAGE(MIN(E51*100/20*100,100),MIN(F51/6*100,100),MAX(0,100-G51*100*4),IF(C51&gt;=0,100,MAX(0,100+(IF('Monthly Log'!B51=0,0,C51/'Monthly Log'!B51*100)*2)))))</f>
        <v/>
      </c>
      <c r="I51" s="43" t="str">
        <f aca="false">IF('Monthly Log'!B51="","",B51*12*25)</f>
        <v/>
      </c>
      <c r="J51" s="44" t="str">
        <f aca="false">IF('Monthly Log'!B51="","",IF(I51=0,0,('Monthly Log'!L51+'Monthly Log'!M51)/I51))</f>
        <v/>
      </c>
      <c r="K51" s="43" t="str">
        <f aca="false">IF('Monthly Log'!B51="","",'Monthly Log'!C51+'Monthly Log'!D51+'Monthly Log'!E51+'Monthly Log'!F51+'Monthly Log'!P51)</f>
        <v/>
      </c>
      <c r="L51" s="43" t="str">
        <f aca="false">IF('Monthly Log'!B51="","",'Monthly Log'!G51+'Monthly Log'!H51+'Monthly Log'!I51)</f>
        <v/>
      </c>
      <c r="M51" s="43" t="str">
        <f aca="false">IF('Monthly Log'!B51="","",'Monthly Log'!J51+'Monthly Log'!K51)</f>
        <v/>
      </c>
      <c r="N51" s="44" t="str">
        <f aca="false">IF('Monthly Log'!B51="","",IF('Monthly Log'!B51=0,0,K51/'Monthly Log'!B51))</f>
        <v/>
      </c>
      <c r="O51" s="44" t="str">
        <f aca="false">IF('Monthly Log'!B51="","",IF('Monthly Log'!B51=0,0,L51/'Monthly Log'!B51))</f>
        <v/>
      </c>
      <c r="P51" s="44" t="str">
        <f aca="false">IF('Monthly Log'!B51="","",IF('Monthly Log'!B51=0,0,M51/'Monthly Log'!B51))</f>
        <v/>
      </c>
      <c r="Q51" s="43" t="e">
        <f aca="false">IF(D51="",NA(),D51)</f>
        <v>#N/A</v>
      </c>
      <c r="R51" s="44" t="e">
        <f aca="false">IF(E51="",NA(),E51)</f>
        <v>#N/A</v>
      </c>
      <c r="S51" s="43" t="e">
        <f aca="false">IF(C51="",NA(),C51)</f>
        <v>#N/A</v>
      </c>
      <c r="T51" s="44" t="e">
        <f aca="false">IF(J51="",NA(),J51)</f>
        <v>#N/A</v>
      </c>
      <c r="U51" s="45" t="e">
        <f aca="false">IF(H51="",NA(),H51)</f>
        <v>#N/A</v>
      </c>
    </row>
    <row r="52" customFormat="false" ht="15" hidden="false" customHeight="false" outlineLevel="0" collapsed="false">
      <c r="A52" s="43" t="str">
        <f aca="false">IF('Monthly Log'!B52="","",'Monthly Log'!C52+'Monthly Log'!D52+'Monthly Log'!E52+'Monthly Log'!F52+'Monthly Log'!G52+'Monthly Log'!H52)</f>
        <v/>
      </c>
      <c r="B52" s="43" t="str">
        <f aca="false">IF('Monthly Log'!B52="","",A52+'Monthly Log'!I52)</f>
        <v/>
      </c>
      <c r="C52" s="43" t="str">
        <f aca="false">IF('Monthly Log'!B52="","",'Monthly Log'!B52-A52-'Monthly Log'!I52-'Monthly Log'!P52-'Monthly Log'!J52-'Monthly Log'!K52)</f>
        <v/>
      </c>
      <c r="D52" s="43" t="str">
        <f aca="false">IF('Monthly Log'!B52="","",'Monthly Log'!L52+'Monthly Log'!M52+'Monthly Log'!N52-'Monthly Log'!O52)</f>
        <v/>
      </c>
      <c r="E52" s="44" t="str">
        <f aca="false">IF('Monthly Log'!B52="","",IF('Monthly Log'!B52=0,0,('Monthly Log'!J52+'Monthly Log'!K52)/'Monthly Log'!B52))</f>
        <v/>
      </c>
      <c r="F52" s="45" t="str">
        <f aca="false">IF('Monthly Log'!B52="","",IF(B52=0,0,'Monthly Log'!N52/B52))</f>
        <v/>
      </c>
      <c r="G52" s="44" t="str">
        <f aca="false">IF('Monthly Log'!B52="","",IF('Monthly Log'!B52=0,0,'Monthly Log'!P52/'Monthly Log'!B52))</f>
        <v/>
      </c>
      <c r="H52" s="45" t="str">
        <f aca="false">IF('Monthly Log'!B52="","",AVERAGE(MIN(E52*100/20*100,100),MIN(F52/6*100,100),MAX(0,100-G52*100*4),IF(C52&gt;=0,100,MAX(0,100+(IF('Monthly Log'!B52=0,0,C52/'Monthly Log'!B52*100)*2)))))</f>
        <v/>
      </c>
      <c r="I52" s="43" t="str">
        <f aca="false">IF('Monthly Log'!B52="","",B52*12*25)</f>
        <v/>
      </c>
      <c r="J52" s="44" t="str">
        <f aca="false">IF('Monthly Log'!B52="","",IF(I52=0,0,('Monthly Log'!L52+'Monthly Log'!M52)/I52))</f>
        <v/>
      </c>
      <c r="K52" s="43" t="str">
        <f aca="false">IF('Monthly Log'!B52="","",'Monthly Log'!C52+'Monthly Log'!D52+'Monthly Log'!E52+'Monthly Log'!F52+'Monthly Log'!P52)</f>
        <v/>
      </c>
      <c r="L52" s="43" t="str">
        <f aca="false">IF('Monthly Log'!B52="","",'Monthly Log'!G52+'Monthly Log'!H52+'Monthly Log'!I52)</f>
        <v/>
      </c>
      <c r="M52" s="43" t="str">
        <f aca="false">IF('Monthly Log'!B52="","",'Monthly Log'!J52+'Monthly Log'!K52)</f>
        <v/>
      </c>
      <c r="N52" s="44" t="str">
        <f aca="false">IF('Monthly Log'!B52="","",IF('Monthly Log'!B52=0,0,K52/'Monthly Log'!B52))</f>
        <v/>
      </c>
      <c r="O52" s="44" t="str">
        <f aca="false">IF('Monthly Log'!B52="","",IF('Monthly Log'!B52=0,0,L52/'Monthly Log'!B52))</f>
        <v/>
      </c>
      <c r="P52" s="44" t="str">
        <f aca="false">IF('Monthly Log'!B52="","",IF('Monthly Log'!B52=0,0,M52/'Monthly Log'!B52))</f>
        <v/>
      </c>
      <c r="Q52" s="43" t="e">
        <f aca="false">IF(D52="",NA(),D52)</f>
        <v>#N/A</v>
      </c>
      <c r="R52" s="44" t="e">
        <f aca="false">IF(E52="",NA(),E52)</f>
        <v>#N/A</v>
      </c>
      <c r="S52" s="43" t="e">
        <f aca="false">IF(C52="",NA(),C52)</f>
        <v>#N/A</v>
      </c>
      <c r="T52" s="44" t="e">
        <f aca="false">IF(J52="",NA(),J52)</f>
        <v>#N/A</v>
      </c>
      <c r="U52" s="45" t="e">
        <f aca="false">IF(H52="",NA(),H52)</f>
        <v>#N/A</v>
      </c>
    </row>
    <row r="53" customFormat="false" ht="15" hidden="false" customHeight="false" outlineLevel="0" collapsed="false">
      <c r="A53" s="43" t="str">
        <f aca="false">IF('Monthly Log'!B53="","",'Monthly Log'!C53+'Monthly Log'!D53+'Monthly Log'!E53+'Monthly Log'!F53+'Monthly Log'!G53+'Monthly Log'!H53)</f>
        <v/>
      </c>
      <c r="B53" s="43" t="str">
        <f aca="false">IF('Monthly Log'!B53="","",A53+'Monthly Log'!I53)</f>
        <v/>
      </c>
      <c r="C53" s="43" t="str">
        <f aca="false">IF('Monthly Log'!B53="","",'Monthly Log'!B53-A53-'Monthly Log'!I53-'Monthly Log'!P53-'Monthly Log'!J53-'Monthly Log'!K53)</f>
        <v/>
      </c>
      <c r="D53" s="43" t="str">
        <f aca="false">IF('Monthly Log'!B53="","",'Monthly Log'!L53+'Monthly Log'!M53+'Monthly Log'!N53-'Monthly Log'!O53)</f>
        <v/>
      </c>
      <c r="E53" s="44" t="str">
        <f aca="false">IF('Monthly Log'!B53="","",IF('Monthly Log'!B53=0,0,('Monthly Log'!J53+'Monthly Log'!K53)/'Monthly Log'!B53))</f>
        <v/>
      </c>
      <c r="F53" s="45" t="str">
        <f aca="false">IF('Monthly Log'!B53="","",IF(B53=0,0,'Monthly Log'!N53/B53))</f>
        <v/>
      </c>
      <c r="G53" s="44" t="str">
        <f aca="false">IF('Monthly Log'!B53="","",IF('Monthly Log'!B53=0,0,'Monthly Log'!P53/'Monthly Log'!B53))</f>
        <v/>
      </c>
      <c r="H53" s="45" t="str">
        <f aca="false">IF('Monthly Log'!B53="","",AVERAGE(MIN(E53*100/20*100,100),MIN(F53/6*100,100),MAX(0,100-G53*100*4),IF(C53&gt;=0,100,MAX(0,100+(IF('Monthly Log'!B53=0,0,C53/'Monthly Log'!B53*100)*2)))))</f>
        <v/>
      </c>
      <c r="I53" s="43" t="str">
        <f aca="false">IF('Monthly Log'!B53="","",B53*12*25)</f>
        <v/>
      </c>
      <c r="J53" s="44" t="str">
        <f aca="false">IF('Monthly Log'!B53="","",IF(I53=0,0,('Monthly Log'!L53+'Monthly Log'!M53)/I53))</f>
        <v/>
      </c>
      <c r="K53" s="43" t="str">
        <f aca="false">IF('Monthly Log'!B53="","",'Monthly Log'!C53+'Monthly Log'!D53+'Monthly Log'!E53+'Monthly Log'!F53+'Monthly Log'!P53)</f>
        <v/>
      </c>
      <c r="L53" s="43" t="str">
        <f aca="false">IF('Monthly Log'!B53="","",'Monthly Log'!G53+'Monthly Log'!H53+'Monthly Log'!I53)</f>
        <v/>
      </c>
      <c r="M53" s="43" t="str">
        <f aca="false">IF('Monthly Log'!B53="","",'Monthly Log'!J53+'Monthly Log'!K53)</f>
        <v/>
      </c>
      <c r="N53" s="44" t="str">
        <f aca="false">IF('Monthly Log'!B53="","",IF('Monthly Log'!B53=0,0,K53/'Monthly Log'!B53))</f>
        <v/>
      </c>
      <c r="O53" s="44" t="str">
        <f aca="false">IF('Monthly Log'!B53="","",IF('Monthly Log'!B53=0,0,L53/'Monthly Log'!B53))</f>
        <v/>
      </c>
      <c r="P53" s="44" t="str">
        <f aca="false">IF('Monthly Log'!B53="","",IF('Monthly Log'!B53=0,0,M53/'Monthly Log'!B53))</f>
        <v/>
      </c>
      <c r="Q53" s="43" t="e">
        <f aca="false">IF(D53="",NA(),D53)</f>
        <v>#N/A</v>
      </c>
      <c r="R53" s="44" t="e">
        <f aca="false">IF(E53="",NA(),E53)</f>
        <v>#N/A</v>
      </c>
      <c r="S53" s="43" t="e">
        <f aca="false">IF(C53="",NA(),C53)</f>
        <v>#N/A</v>
      </c>
      <c r="T53" s="44" t="e">
        <f aca="false">IF(J53="",NA(),J53)</f>
        <v>#N/A</v>
      </c>
      <c r="U53" s="45" t="e">
        <f aca="false">IF(H53="",NA(),H53)</f>
        <v>#N/A</v>
      </c>
    </row>
    <row r="54" customFormat="false" ht="15" hidden="false" customHeight="false" outlineLevel="0" collapsed="false">
      <c r="A54" s="43" t="str">
        <f aca="false">IF('Monthly Log'!B54="","",'Monthly Log'!C54+'Monthly Log'!D54+'Monthly Log'!E54+'Monthly Log'!F54+'Monthly Log'!G54+'Monthly Log'!H54)</f>
        <v/>
      </c>
      <c r="B54" s="43" t="str">
        <f aca="false">IF('Monthly Log'!B54="","",A54+'Monthly Log'!I54)</f>
        <v/>
      </c>
      <c r="C54" s="43" t="str">
        <f aca="false">IF('Monthly Log'!B54="","",'Monthly Log'!B54-A54-'Monthly Log'!I54-'Monthly Log'!P54-'Monthly Log'!J54-'Monthly Log'!K54)</f>
        <v/>
      </c>
      <c r="D54" s="43" t="str">
        <f aca="false">IF('Monthly Log'!B54="","",'Monthly Log'!L54+'Monthly Log'!M54+'Monthly Log'!N54-'Monthly Log'!O54)</f>
        <v/>
      </c>
      <c r="E54" s="44" t="str">
        <f aca="false">IF('Monthly Log'!B54="","",IF('Monthly Log'!B54=0,0,('Monthly Log'!J54+'Monthly Log'!K54)/'Monthly Log'!B54))</f>
        <v/>
      </c>
      <c r="F54" s="45" t="str">
        <f aca="false">IF('Monthly Log'!B54="","",IF(B54=0,0,'Monthly Log'!N54/B54))</f>
        <v/>
      </c>
      <c r="G54" s="44" t="str">
        <f aca="false">IF('Monthly Log'!B54="","",IF('Monthly Log'!B54=0,0,'Monthly Log'!P54/'Monthly Log'!B54))</f>
        <v/>
      </c>
      <c r="H54" s="45" t="str">
        <f aca="false">IF('Monthly Log'!B54="","",AVERAGE(MIN(E54*100/20*100,100),MIN(F54/6*100,100),MAX(0,100-G54*100*4),IF(C54&gt;=0,100,MAX(0,100+(IF('Monthly Log'!B54=0,0,C54/'Monthly Log'!B54*100)*2)))))</f>
        <v/>
      </c>
      <c r="I54" s="43" t="str">
        <f aca="false">IF('Monthly Log'!B54="","",B54*12*25)</f>
        <v/>
      </c>
      <c r="J54" s="44" t="str">
        <f aca="false">IF('Monthly Log'!B54="","",IF(I54=0,0,('Monthly Log'!L54+'Monthly Log'!M54)/I54))</f>
        <v/>
      </c>
      <c r="K54" s="43" t="str">
        <f aca="false">IF('Monthly Log'!B54="","",'Monthly Log'!C54+'Monthly Log'!D54+'Monthly Log'!E54+'Monthly Log'!F54+'Monthly Log'!P54)</f>
        <v/>
      </c>
      <c r="L54" s="43" t="str">
        <f aca="false">IF('Monthly Log'!B54="","",'Monthly Log'!G54+'Monthly Log'!H54+'Monthly Log'!I54)</f>
        <v/>
      </c>
      <c r="M54" s="43" t="str">
        <f aca="false">IF('Monthly Log'!B54="","",'Monthly Log'!J54+'Monthly Log'!K54)</f>
        <v/>
      </c>
      <c r="N54" s="44" t="str">
        <f aca="false">IF('Monthly Log'!B54="","",IF('Monthly Log'!B54=0,0,K54/'Monthly Log'!B54))</f>
        <v/>
      </c>
      <c r="O54" s="44" t="str">
        <f aca="false">IF('Monthly Log'!B54="","",IF('Monthly Log'!B54=0,0,L54/'Monthly Log'!B54))</f>
        <v/>
      </c>
      <c r="P54" s="44" t="str">
        <f aca="false">IF('Monthly Log'!B54="","",IF('Monthly Log'!B54=0,0,M54/'Monthly Log'!B54))</f>
        <v/>
      </c>
      <c r="Q54" s="43" t="e">
        <f aca="false">IF(D54="",NA(),D54)</f>
        <v>#N/A</v>
      </c>
      <c r="R54" s="44" t="e">
        <f aca="false">IF(E54="",NA(),E54)</f>
        <v>#N/A</v>
      </c>
      <c r="S54" s="43" t="e">
        <f aca="false">IF(C54="",NA(),C54)</f>
        <v>#N/A</v>
      </c>
      <c r="T54" s="44" t="e">
        <f aca="false">IF(J54="",NA(),J54)</f>
        <v>#N/A</v>
      </c>
      <c r="U54" s="45" t="e">
        <f aca="false">IF(H54="",NA(),H54)</f>
        <v>#N/A</v>
      </c>
    </row>
    <row r="55" customFormat="false" ht="15" hidden="false" customHeight="false" outlineLevel="0" collapsed="false">
      <c r="A55" s="43" t="str">
        <f aca="false">IF('Monthly Log'!B55="","",'Monthly Log'!C55+'Monthly Log'!D55+'Monthly Log'!E55+'Monthly Log'!F55+'Monthly Log'!G55+'Monthly Log'!H55)</f>
        <v/>
      </c>
      <c r="B55" s="43" t="str">
        <f aca="false">IF('Monthly Log'!B55="","",A55+'Monthly Log'!I55)</f>
        <v/>
      </c>
      <c r="C55" s="43" t="str">
        <f aca="false">IF('Monthly Log'!B55="","",'Monthly Log'!B55-A55-'Monthly Log'!I55-'Monthly Log'!P55-'Monthly Log'!J55-'Monthly Log'!K55)</f>
        <v/>
      </c>
      <c r="D55" s="43" t="str">
        <f aca="false">IF('Monthly Log'!B55="","",'Monthly Log'!L55+'Monthly Log'!M55+'Monthly Log'!N55-'Monthly Log'!O55)</f>
        <v/>
      </c>
      <c r="E55" s="44" t="str">
        <f aca="false">IF('Monthly Log'!B55="","",IF('Monthly Log'!B55=0,0,('Monthly Log'!J55+'Monthly Log'!K55)/'Monthly Log'!B55))</f>
        <v/>
      </c>
      <c r="F55" s="45" t="str">
        <f aca="false">IF('Monthly Log'!B55="","",IF(B55=0,0,'Monthly Log'!N55/B55))</f>
        <v/>
      </c>
      <c r="G55" s="44" t="str">
        <f aca="false">IF('Monthly Log'!B55="","",IF('Monthly Log'!B55=0,0,'Monthly Log'!P55/'Monthly Log'!B55))</f>
        <v/>
      </c>
      <c r="H55" s="45" t="str">
        <f aca="false">IF('Monthly Log'!B55="","",AVERAGE(MIN(E55*100/20*100,100),MIN(F55/6*100,100),MAX(0,100-G55*100*4),IF(C55&gt;=0,100,MAX(0,100+(IF('Monthly Log'!B55=0,0,C55/'Monthly Log'!B55*100)*2)))))</f>
        <v/>
      </c>
      <c r="I55" s="43" t="str">
        <f aca="false">IF('Monthly Log'!B55="","",B55*12*25)</f>
        <v/>
      </c>
      <c r="J55" s="44" t="str">
        <f aca="false">IF('Monthly Log'!B55="","",IF(I55=0,0,('Monthly Log'!L55+'Monthly Log'!M55)/I55))</f>
        <v/>
      </c>
      <c r="K55" s="43" t="str">
        <f aca="false">IF('Monthly Log'!B55="","",'Monthly Log'!C55+'Monthly Log'!D55+'Monthly Log'!E55+'Monthly Log'!F55+'Monthly Log'!P55)</f>
        <v/>
      </c>
      <c r="L55" s="43" t="str">
        <f aca="false">IF('Monthly Log'!B55="","",'Monthly Log'!G55+'Monthly Log'!H55+'Monthly Log'!I55)</f>
        <v/>
      </c>
      <c r="M55" s="43" t="str">
        <f aca="false">IF('Monthly Log'!B55="","",'Monthly Log'!J55+'Monthly Log'!K55)</f>
        <v/>
      </c>
      <c r="N55" s="44" t="str">
        <f aca="false">IF('Monthly Log'!B55="","",IF('Monthly Log'!B55=0,0,K55/'Monthly Log'!B55))</f>
        <v/>
      </c>
      <c r="O55" s="44" t="str">
        <f aca="false">IF('Monthly Log'!B55="","",IF('Monthly Log'!B55=0,0,L55/'Monthly Log'!B55))</f>
        <v/>
      </c>
      <c r="P55" s="44" t="str">
        <f aca="false">IF('Monthly Log'!B55="","",IF('Monthly Log'!B55=0,0,M55/'Monthly Log'!B55))</f>
        <v/>
      </c>
      <c r="Q55" s="43" t="e">
        <f aca="false">IF(D55="",NA(),D55)</f>
        <v>#N/A</v>
      </c>
      <c r="R55" s="44" t="e">
        <f aca="false">IF(E55="",NA(),E55)</f>
        <v>#N/A</v>
      </c>
      <c r="S55" s="43" t="e">
        <f aca="false">IF(C55="",NA(),C55)</f>
        <v>#N/A</v>
      </c>
      <c r="T55" s="44" t="e">
        <f aca="false">IF(J55="",NA(),J55)</f>
        <v>#N/A</v>
      </c>
      <c r="U55" s="45" t="e">
        <f aca="false">IF(H55="",NA(),H55)</f>
        <v>#N/A</v>
      </c>
    </row>
    <row r="56" customFormat="false" ht="15" hidden="false" customHeight="false" outlineLevel="0" collapsed="false">
      <c r="A56" s="43" t="str">
        <f aca="false">IF('Monthly Log'!B56="","",'Monthly Log'!C56+'Monthly Log'!D56+'Monthly Log'!E56+'Monthly Log'!F56+'Monthly Log'!G56+'Monthly Log'!H56)</f>
        <v/>
      </c>
      <c r="B56" s="43" t="str">
        <f aca="false">IF('Monthly Log'!B56="","",A56+'Monthly Log'!I56)</f>
        <v/>
      </c>
      <c r="C56" s="43" t="str">
        <f aca="false">IF('Monthly Log'!B56="","",'Monthly Log'!B56-A56-'Monthly Log'!I56-'Monthly Log'!P56-'Monthly Log'!J56-'Monthly Log'!K56)</f>
        <v/>
      </c>
      <c r="D56" s="43" t="str">
        <f aca="false">IF('Monthly Log'!B56="","",'Monthly Log'!L56+'Monthly Log'!M56+'Monthly Log'!N56-'Monthly Log'!O56)</f>
        <v/>
      </c>
      <c r="E56" s="44" t="str">
        <f aca="false">IF('Monthly Log'!B56="","",IF('Monthly Log'!B56=0,0,('Monthly Log'!J56+'Monthly Log'!K56)/'Monthly Log'!B56))</f>
        <v/>
      </c>
      <c r="F56" s="45" t="str">
        <f aca="false">IF('Monthly Log'!B56="","",IF(B56=0,0,'Monthly Log'!N56/B56))</f>
        <v/>
      </c>
      <c r="G56" s="44" t="str">
        <f aca="false">IF('Monthly Log'!B56="","",IF('Monthly Log'!B56=0,0,'Monthly Log'!P56/'Monthly Log'!B56))</f>
        <v/>
      </c>
      <c r="H56" s="45" t="str">
        <f aca="false">IF('Monthly Log'!B56="","",AVERAGE(MIN(E56*100/20*100,100),MIN(F56/6*100,100),MAX(0,100-G56*100*4),IF(C56&gt;=0,100,MAX(0,100+(IF('Monthly Log'!B56=0,0,C56/'Monthly Log'!B56*100)*2)))))</f>
        <v/>
      </c>
      <c r="I56" s="43" t="str">
        <f aca="false">IF('Monthly Log'!B56="","",B56*12*25)</f>
        <v/>
      </c>
      <c r="J56" s="44" t="str">
        <f aca="false">IF('Monthly Log'!B56="","",IF(I56=0,0,('Monthly Log'!L56+'Monthly Log'!M56)/I56))</f>
        <v/>
      </c>
      <c r="K56" s="43" t="str">
        <f aca="false">IF('Monthly Log'!B56="","",'Monthly Log'!C56+'Monthly Log'!D56+'Monthly Log'!E56+'Monthly Log'!F56+'Monthly Log'!P56)</f>
        <v/>
      </c>
      <c r="L56" s="43" t="str">
        <f aca="false">IF('Monthly Log'!B56="","",'Monthly Log'!G56+'Monthly Log'!H56+'Monthly Log'!I56)</f>
        <v/>
      </c>
      <c r="M56" s="43" t="str">
        <f aca="false">IF('Monthly Log'!B56="","",'Monthly Log'!J56+'Monthly Log'!K56)</f>
        <v/>
      </c>
      <c r="N56" s="44" t="str">
        <f aca="false">IF('Monthly Log'!B56="","",IF('Monthly Log'!B56=0,0,K56/'Monthly Log'!B56))</f>
        <v/>
      </c>
      <c r="O56" s="44" t="str">
        <f aca="false">IF('Monthly Log'!B56="","",IF('Monthly Log'!B56=0,0,L56/'Monthly Log'!B56))</f>
        <v/>
      </c>
      <c r="P56" s="44" t="str">
        <f aca="false">IF('Monthly Log'!B56="","",IF('Monthly Log'!B56=0,0,M56/'Monthly Log'!B56))</f>
        <v/>
      </c>
      <c r="Q56" s="43" t="e">
        <f aca="false">IF(D56="",NA(),D56)</f>
        <v>#N/A</v>
      </c>
      <c r="R56" s="44" t="e">
        <f aca="false">IF(E56="",NA(),E56)</f>
        <v>#N/A</v>
      </c>
      <c r="S56" s="43" t="e">
        <f aca="false">IF(C56="",NA(),C56)</f>
        <v>#N/A</v>
      </c>
      <c r="T56" s="44" t="e">
        <f aca="false">IF(J56="",NA(),J56)</f>
        <v>#N/A</v>
      </c>
      <c r="U56" s="45" t="e">
        <f aca="false">IF(H56="",NA(),H56)</f>
        <v>#N/A</v>
      </c>
    </row>
    <row r="57" customFormat="false" ht="15" hidden="false" customHeight="false" outlineLevel="0" collapsed="false">
      <c r="A57" s="43" t="str">
        <f aca="false">IF('Monthly Log'!B57="","",'Monthly Log'!C57+'Monthly Log'!D57+'Monthly Log'!E57+'Monthly Log'!F57+'Monthly Log'!G57+'Monthly Log'!H57)</f>
        <v/>
      </c>
      <c r="B57" s="43" t="str">
        <f aca="false">IF('Monthly Log'!B57="","",A57+'Monthly Log'!I57)</f>
        <v/>
      </c>
      <c r="C57" s="43" t="str">
        <f aca="false">IF('Monthly Log'!B57="","",'Monthly Log'!B57-A57-'Monthly Log'!I57-'Monthly Log'!P57-'Monthly Log'!J57-'Monthly Log'!K57)</f>
        <v/>
      </c>
      <c r="D57" s="43" t="str">
        <f aca="false">IF('Monthly Log'!B57="","",'Monthly Log'!L57+'Monthly Log'!M57+'Monthly Log'!N57-'Monthly Log'!O57)</f>
        <v/>
      </c>
      <c r="E57" s="44" t="str">
        <f aca="false">IF('Monthly Log'!B57="","",IF('Monthly Log'!B57=0,0,('Monthly Log'!J57+'Monthly Log'!K57)/'Monthly Log'!B57))</f>
        <v/>
      </c>
      <c r="F57" s="45" t="str">
        <f aca="false">IF('Monthly Log'!B57="","",IF(B57=0,0,'Monthly Log'!N57/B57))</f>
        <v/>
      </c>
      <c r="G57" s="44" t="str">
        <f aca="false">IF('Monthly Log'!B57="","",IF('Monthly Log'!B57=0,0,'Monthly Log'!P57/'Monthly Log'!B57))</f>
        <v/>
      </c>
      <c r="H57" s="45" t="str">
        <f aca="false">IF('Monthly Log'!B57="","",AVERAGE(MIN(E57*100/20*100,100),MIN(F57/6*100,100),MAX(0,100-G57*100*4),IF(C57&gt;=0,100,MAX(0,100+(IF('Monthly Log'!B57=0,0,C57/'Monthly Log'!B57*100)*2)))))</f>
        <v/>
      </c>
      <c r="I57" s="43" t="str">
        <f aca="false">IF('Monthly Log'!B57="","",B57*12*25)</f>
        <v/>
      </c>
      <c r="J57" s="44" t="str">
        <f aca="false">IF('Monthly Log'!B57="","",IF(I57=0,0,('Monthly Log'!L57+'Monthly Log'!M57)/I57))</f>
        <v/>
      </c>
      <c r="K57" s="43" t="str">
        <f aca="false">IF('Monthly Log'!B57="","",'Monthly Log'!C57+'Monthly Log'!D57+'Monthly Log'!E57+'Monthly Log'!F57+'Monthly Log'!P57)</f>
        <v/>
      </c>
      <c r="L57" s="43" t="str">
        <f aca="false">IF('Monthly Log'!B57="","",'Monthly Log'!G57+'Monthly Log'!H57+'Monthly Log'!I57)</f>
        <v/>
      </c>
      <c r="M57" s="43" t="str">
        <f aca="false">IF('Monthly Log'!B57="","",'Monthly Log'!J57+'Monthly Log'!K57)</f>
        <v/>
      </c>
      <c r="N57" s="44" t="str">
        <f aca="false">IF('Monthly Log'!B57="","",IF('Monthly Log'!B57=0,0,K57/'Monthly Log'!B57))</f>
        <v/>
      </c>
      <c r="O57" s="44" t="str">
        <f aca="false">IF('Monthly Log'!B57="","",IF('Monthly Log'!B57=0,0,L57/'Monthly Log'!B57))</f>
        <v/>
      </c>
      <c r="P57" s="44" t="str">
        <f aca="false">IF('Monthly Log'!B57="","",IF('Monthly Log'!B57=0,0,M57/'Monthly Log'!B57))</f>
        <v/>
      </c>
      <c r="Q57" s="43" t="e">
        <f aca="false">IF(D57="",NA(),D57)</f>
        <v>#N/A</v>
      </c>
      <c r="R57" s="44" t="e">
        <f aca="false">IF(E57="",NA(),E57)</f>
        <v>#N/A</v>
      </c>
      <c r="S57" s="43" t="e">
        <f aca="false">IF(C57="",NA(),C57)</f>
        <v>#N/A</v>
      </c>
      <c r="T57" s="44" t="e">
        <f aca="false">IF(J57="",NA(),J57)</f>
        <v>#N/A</v>
      </c>
      <c r="U57" s="45" t="e">
        <f aca="false">IF(H57="",NA(),H57)</f>
        <v>#N/A</v>
      </c>
    </row>
    <row r="58" customFormat="false" ht="15" hidden="false" customHeight="false" outlineLevel="0" collapsed="false">
      <c r="A58" s="43" t="str">
        <f aca="false">IF('Monthly Log'!B58="","",'Monthly Log'!C58+'Monthly Log'!D58+'Monthly Log'!E58+'Monthly Log'!F58+'Monthly Log'!G58+'Monthly Log'!H58)</f>
        <v/>
      </c>
      <c r="B58" s="43" t="str">
        <f aca="false">IF('Monthly Log'!B58="","",A58+'Monthly Log'!I58)</f>
        <v/>
      </c>
      <c r="C58" s="43" t="str">
        <f aca="false">IF('Monthly Log'!B58="","",'Monthly Log'!B58-A58-'Monthly Log'!I58-'Monthly Log'!P58-'Monthly Log'!J58-'Monthly Log'!K58)</f>
        <v/>
      </c>
      <c r="D58" s="43" t="str">
        <f aca="false">IF('Monthly Log'!B58="","",'Monthly Log'!L58+'Monthly Log'!M58+'Monthly Log'!N58-'Monthly Log'!O58)</f>
        <v/>
      </c>
      <c r="E58" s="44" t="str">
        <f aca="false">IF('Monthly Log'!B58="","",IF('Monthly Log'!B58=0,0,('Monthly Log'!J58+'Monthly Log'!K58)/'Monthly Log'!B58))</f>
        <v/>
      </c>
      <c r="F58" s="45" t="str">
        <f aca="false">IF('Monthly Log'!B58="","",IF(B58=0,0,'Monthly Log'!N58/B58))</f>
        <v/>
      </c>
      <c r="G58" s="44" t="str">
        <f aca="false">IF('Monthly Log'!B58="","",IF('Monthly Log'!B58=0,0,'Monthly Log'!P58/'Monthly Log'!B58))</f>
        <v/>
      </c>
      <c r="H58" s="45" t="str">
        <f aca="false">IF('Monthly Log'!B58="","",AVERAGE(MIN(E58*100/20*100,100),MIN(F58/6*100,100),MAX(0,100-G58*100*4),IF(C58&gt;=0,100,MAX(0,100+(IF('Monthly Log'!B58=0,0,C58/'Monthly Log'!B58*100)*2)))))</f>
        <v/>
      </c>
      <c r="I58" s="43" t="str">
        <f aca="false">IF('Monthly Log'!B58="","",B58*12*25)</f>
        <v/>
      </c>
      <c r="J58" s="44" t="str">
        <f aca="false">IF('Monthly Log'!B58="","",IF(I58=0,0,('Monthly Log'!L58+'Monthly Log'!M58)/I58))</f>
        <v/>
      </c>
      <c r="K58" s="43" t="str">
        <f aca="false">IF('Monthly Log'!B58="","",'Monthly Log'!C58+'Monthly Log'!D58+'Monthly Log'!E58+'Monthly Log'!F58+'Monthly Log'!P58)</f>
        <v/>
      </c>
      <c r="L58" s="43" t="str">
        <f aca="false">IF('Monthly Log'!B58="","",'Monthly Log'!G58+'Monthly Log'!H58+'Monthly Log'!I58)</f>
        <v/>
      </c>
      <c r="M58" s="43" t="str">
        <f aca="false">IF('Monthly Log'!B58="","",'Monthly Log'!J58+'Monthly Log'!K58)</f>
        <v/>
      </c>
      <c r="N58" s="44" t="str">
        <f aca="false">IF('Monthly Log'!B58="","",IF('Monthly Log'!B58=0,0,K58/'Monthly Log'!B58))</f>
        <v/>
      </c>
      <c r="O58" s="44" t="str">
        <f aca="false">IF('Monthly Log'!B58="","",IF('Monthly Log'!B58=0,0,L58/'Monthly Log'!B58))</f>
        <v/>
      </c>
      <c r="P58" s="44" t="str">
        <f aca="false">IF('Monthly Log'!B58="","",IF('Monthly Log'!B58=0,0,M58/'Monthly Log'!B58))</f>
        <v/>
      </c>
      <c r="Q58" s="43" t="e">
        <f aca="false">IF(D58="",NA(),D58)</f>
        <v>#N/A</v>
      </c>
      <c r="R58" s="44" t="e">
        <f aca="false">IF(E58="",NA(),E58)</f>
        <v>#N/A</v>
      </c>
      <c r="S58" s="43" t="e">
        <f aca="false">IF(C58="",NA(),C58)</f>
        <v>#N/A</v>
      </c>
      <c r="T58" s="44" t="e">
        <f aca="false">IF(J58="",NA(),J58)</f>
        <v>#N/A</v>
      </c>
      <c r="U58" s="45" t="e">
        <f aca="false">IF(H58="",NA(),H58)</f>
        <v>#N/A</v>
      </c>
    </row>
    <row r="59" customFormat="false" ht="15" hidden="false" customHeight="false" outlineLevel="0" collapsed="false">
      <c r="A59" s="43" t="str">
        <f aca="false">IF('Monthly Log'!B59="","",'Monthly Log'!C59+'Monthly Log'!D59+'Monthly Log'!E59+'Monthly Log'!F59+'Monthly Log'!G59+'Monthly Log'!H59)</f>
        <v/>
      </c>
      <c r="B59" s="43" t="str">
        <f aca="false">IF('Monthly Log'!B59="","",A59+'Monthly Log'!I59)</f>
        <v/>
      </c>
      <c r="C59" s="43" t="str">
        <f aca="false">IF('Monthly Log'!B59="","",'Monthly Log'!B59-A59-'Monthly Log'!I59-'Monthly Log'!P59-'Monthly Log'!J59-'Monthly Log'!K59)</f>
        <v/>
      </c>
      <c r="D59" s="43" t="str">
        <f aca="false">IF('Monthly Log'!B59="","",'Monthly Log'!L59+'Monthly Log'!M59+'Monthly Log'!N59-'Monthly Log'!O59)</f>
        <v/>
      </c>
      <c r="E59" s="44" t="str">
        <f aca="false">IF('Monthly Log'!B59="","",IF('Monthly Log'!B59=0,0,('Monthly Log'!J59+'Monthly Log'!K59)/'Monthly Log'!B59))</f>
        <v/>
      </c>
      <c r="F59" s="45" t="str">
        <f aca="false">IF('Monthly Log'!B59="","",IF(B59=0,0,'Monthly Log'!N59/B59))</f>
        <v/>
      </c>
      <c r="G59" s="44" t="str">
        <f aca="false">IF('Monthly Log'!B59="","",IF('Monthly Log'!B59=0,0,'Monthly Log'!P59/'Monthly Log'!B59))</f>
        <v/>
      </c>
      <c r="H59" s="45" t="str">
        <f aca="false">IF('Monthly Log'!B59="","",AVERAGE(MIN(E59*100/20*100,100),MIN(F59/6*100,100),MAX(0,100-G59*100*4),IF(C59&gt;=0,100,MAX(0,100+(IF('Monthly Log'!B59=0,0,C59/'Monthly Log'!B59*100)*2)))))</f>
        <v/>
      </c>
      <c r="I59" s="43" t="str">
        <f aca="false">IF('Monthly Log'!B59="","",B59*12*25)</f>
        <v/>
      </c>
      <c r="J59" s="44" t="str">
        <f aca="false">IF('Monthly Log'!B59="","",IF(I59=0,0,('Monthly Log'!L59+'Monthly Log'!M59)/I59))</f>
        <v/>
      </c>
      <c r="K59" s="43" t="str">
        <f aca="false">IF('Monthly Log'!B59="","",'Monthly Log'!C59+'Monthly Log'!D59+'Monthly Log'!E59+'Monthly Log'!F59+'Monthly Log'!P59)</f>
        <v/>
      </c>
      <c r="L59" s="43" t="str">
        <f aca="false">IF('Monthly Log'!B59="","",'Monthly Log'!G59+'Monthly Log'!H59+'Monthly Log'!I59)</f>
        <v/>
      </c>
      <c r="M59" s="43" t="str">
        <f aca="false">IF('Monthly Log'!B59="","",'Monthly Log'!J59+'Monthly Log'!K59)</f>
        <v/>
      </c>
      <c r="N59" s="44" t="str">
        <f aca="false">IF('Monthly Log'!B59="","",IF('Monthly Log'!B59=0,0,K59/'Monthly Log'!B59))</f>
        <v/>
      </c>
      <c r="O59" s="44" t="str">
        <f aca="false">IF('Monthly Log'!B59="","",IF('Monthly Log'!B59=0,0,L59/'Monthly Log'!B59))</f>
        <v/>
      </c>
      <c r="P59" s="44" t="str">
        <f aca="false">IF('Monthly Log'!B59="","",IF('Monthly Log'!B59=0,0,M59/'Monthly Log'!B59))</f>
        <v/>
      </c>
      <c r="Q59" s="43" t="e">
        <f aca="false">IF(D59="",NA(),D59)</f>
        <v>#N/A</v>
      </c>
      <c r="R59" s="44" t="e">
        <f aca="false">IF(E59="",NA(),E59)</f>
        <v>#N/A</v>
      </c>
      <c r="S59" s="43" t="e">
        <f aca="false">IF(C59="",NA(),C59)</f>
        <v>#N/A</v>
      </c>
      <c r="T59" s="44" t="e">
        <f aca="false">IF(J59="",NA(),J59)</f>
        <v>#N/A</v>
      </c>
      <c r="U59" s="45" t="e">
        <f aca="false">IF(H59="",NA(),H59)</f>
        <v>#N/A</v>
      </c>
    </row>
    <row r="60" customFormat="false" ht="15" hidden="false" customHeight="false" outlineLevel="0" collapsed="false">
      <c r="A60" s="43" t="str">
        <f aca="false">IF('Monthly Log'!B60="","",'Monthly Log'!C60+'Monthly Log'!D60+'Monthly Log'!E60+'Monthly Log'!F60+'Monthly Log'!G60+'Monthly Log'!H60)</f>
        <v/>
      </c>
      <c r="B60" s="43" t="str">
        <f aca="false">IF('Monthly Log'!B60="","",A60+'Monthly Log'!I60)</f>
        <v/>
      </c>
      <c r="C60" s="43" t="str">
        <f aca="false">IF('Monthly Log'!B60="","",'Monthly Log'!B60-A60-'Monthly Log'!I60-'Monthly Log'!P60-'Monthly Log'!J60-'Monthly Log'!K60)</f>
        <v/>
      </c>
      <c r="D60" s="43" t="str">
        <f aca="false">IF('Monthly Log'!B60="","",'Monthly Log'!L60+'Monthly Log'!M60+'Monthly Log'!N60-'Monthly Log'!O60)</f>
        <v/>
      </c>
      <c r="E60" s="44" t="str">
        <f aca="false">IF('Monthly Log'!B60="","",IF('Monthly Log'!B60=0,0,('Monthly Log'!J60+'Monthly Log'!K60)/'Monthly Log'!B60))</f>
        <v/>
      </c>
      <c r="F60" s="45" t="str">
        <f aca="false">IF('Monthly Log'!B60="","",IF(B60=0,0,'Monthly Log'!N60/B60))</f>
        <v/>
      </c>
      <c r="G60" s="44" t="str">
        <f aca="false">IF('Monthly Log'!B60="","",IF('Monthly Log'!B60=0,0,'Monthly Log'!P60/'Monthly Log'!B60))</f>
        <v/>
      </c>
      <c r="H60" s="45" t="str">
        <f aca="false">IF('Monthly Log'!B60="","",AVERAGE(MIN(E60*100/20*100,100),MIN(F60/6*100,100),MAX(0,100-G60*100*4),IF(C60&gt;=0,100,MAX(0,100+(IF('Monthly Log'!B60=0,0,C60/'Monthly Log'!B60*100)*2)))))</f>
        <v/>
      </c>
      <c r="I60" s="43" t="str">
        <f aca="false">IF('Monthly Log'!B60="","",B60*12*25)</f>
        <v/>
      </c>
      <c r="J60" s="44" t="str">
        <f aca="false">IF('Monthly Log'!B60="","",IF(I60=0,0,('Monthly Log'!L60+'Monthly Log'!M60)/I60))</f>
        <v/>
      </c>
      <c r="K60" s="43" t="str">
        <f aca="false">IF('Monthly Log'!B60="","",'Monthly Log'!C60+'Monthly Log'!D60+'Monthly Log'!E60+'Monthly Log'!F60+'Monthly Log'!P60)</f>
        <v/>
      </c>
      <c r="L60" s="43" t="str">
        <f aca="false">IF('Monthly Log'!B60="","",'Monthly Log'!G60+'Monthly Log'!H60+'Monthly Log'!I60)</f>
        <v/>
      </c>
      <c r="M60" s="43" t="str">
        <f aca="false">IF('Monthly Log'!B60="","",'Monthly Log'!J60+'Monthly Log'!K60)</f>
        <v/>
      </c>
      <c r="N60" s="44" t="str">
        <f aca="false">IF('Monthly Log'!B60="","",IF('Monthly Log'!B60=0,0,K60/'Monthly Log'!B60))</f>
        <v/>
      </c>
      <c r="O60" s="44" t="str">
        <f aca="false">IF('Monthly Log'!B60="","",IF('Monthly Log'!B60=0,0,L60/'Monthly Log'!B60))</f>
        <v/>
      </c>
      <c r="P60" s="44" t="str">
        <f aca="false">IF('Monthly Log'!B60="","",IF('Monthly Log'!B60=0,0,M60/'Monthly Log'!B60))</f>
        <v/>
      </c>
      <c r="Q60" s="43" t="e">
        <f aca="false">IF(D60="",NA(),D60)</f>
        <v>#N/A</v>
      </c>
      <c r="R60" s="44" t="e">
        <f aca="false">IF(E60="",NA(),E60)</f>
        <v>#N/A</v>
      </c>
      <c r="S60" s="43" t="e">
        <f aca="false">IF(C60="",NA(),C60)</f>
        <v>#N/A</v>
      </c>
      <c r="T60" s="44" t="e">
        <f aca="false">IF(J60="",NA(),J60)</f>
        <v>#N/A</v>
      </c>
      <c r="U60" s="45" t="e">
        <f aca="false">IF(H60="",NA(),H60)</f>
        <v>#N/A</v>
      </c>
    </row>
    <row r="61" customFormat="false" ht="15" hidden="false" customHeight="false" outlineLevel="0" collapsed="false">
      <c r="A61" s="43" t="str">
        <f aca="false">IF('Monthly Log'!B61="","",'Monthly Log'!C61+'Monthly Log'!D61+'Monthly Log'!E61+'Monthly Log'!F61+'Monthly Log'!G61+'Monthly Log'!H61)</f>
        <v/>
      </c>
      <c r="B61" s="43" t="str">
        <f aca="false">IF('Monthly Log'!B61="","",A61+'Monthly Log'!I61)</f>
        <v/>
      </c>
      <c r="C61" s="43" t="str">
        <f aca="false">IF('Monthly Log'!B61="","",'Monthly Log'!B61-A61-'Monthly Log'!I61-'Monthly Log'!P61-'Monthly Log'!J61-'Monthly Log'!K61)</f>
        <v/>
      </c>
      <c r="D61" s="43" t="str">
        <f aca="false">IF('Monthly Log'!B61="","",'Monthly Log'!L61+'Monthly Log'!M61+'Monthly Log'!N61-'Monthly Log'!O61)</f>
        <v/>
      </c>
      <c r="E61" s="44" t="str">
        <f aca="false">IF('Monthly Log'!B61="","",IF('Monthly Log'!B61=0,0,('Monthly Log'!J61+'Monthly Log'!K61)/'Monthly Log'!B61))</f>
        <v/>
      </c>
      <c r="F61" s="45" t="str">
        <f aca="false">IF('Monthly Log'!B61="","",IF(B61=0,0,'Monthly Log'!N61/B61))</f>
        <v/>
      </c>
      <c r="G61" s="44" t="str">
        <f aca="false">IF('Monthly Log'!B61="","",IF('Monthly Log'!B61=0,0,'Monthly Log'!P61/'Monthly Log'!B61))</f>
        <v/>
      </c>
      <c r="H61" s="45" t="str">
        <f aca="false">IF('Monthly Log'!B61="","",AVERAGE(MIN(E61*100/20*100,100),MIN(F61/6*100,100),MAX(0,100-G61*100*4),IF(C61&gt;=0,100,MAX(0,100+(IF('Monthly Log'!B61=0,0,C61/'Monthly Log'!B61*100)*2)))))</f>
        <v/>
      </c>
      <c r="I61" s="43" t="str">
        <f aca="false">IF('Monthly Log'!B61="","",B61*12*25)</f>
        <v/>
      </c>
      <c r="J61" s="44" t="str">
        <f aca="false">IF('Monthly Log'!B61="","",IF(I61=0,0,('Monthly Log'!L61+'Monthly Log'!M61)/I61))</f>
        <v/>
      </c>
      <c r="K61" s="43" t="str">
        <f aca="false">IF('Monthly Log'!B61="","",'Monthly Log'!C61+'Monthly Log'!D61+'Monthly Log'!E61+'Monthly Log'!F61+'Monthly Log'!P61)</f>
        <v/>
      </c>
      <c r="L61" s="43" t="str">
        <f aca="false">IF('Monthly Log'!B61="","",'Monthly Log'!G61+'Monthly Log'!H61+'Monthly Log'!I61)</f>
        <v/>
      </c>
      <c r="M61" s="43" t="str">
        <f aca="false">IF('Monthly Log'!B61="","",'Monthly Log'!J61+'Monthly Log'!K61)</f>
        <v/>
      </c>
      <c r="N61" s="44" t="str">
        <f aca="false">IF('Monthly Log'!B61="","",IF('Monthly Log'!B61=0,0,K61/'Monthly Log'!B61))</f>
        <v/>
      </c>
      <c r="O61" s="44" t="str">
        <f aca="false">IF('Monthly Log'!B61="","",IF('Monthly Log'!B61=0,0,L61/'Monthly Log'!B61))</f>
        <v/>
      </c>
      <c r="P61" s="44" t="str">
        <f aca="false">IF('Monthly Log'!B61="","",IF('Monthly Log'!B61=0,0,M61/'Monthly Log'!B61))</f>
        <v/>
      </c>
      <c r="Q61" s="43" t="e">
        <f aca="false">IF(D61="",NA(),D61)</f>
        <v>#N/A</v>
      </c>
      <c r="R61" s="44" t="e">
        <f aca="false">IF(E61="",NA(),E61)</f>
        <v>#N/A</v>
      </c>
      <c r="S61" s="43" t="e">
        <f aca="false">IF(C61="",NA(),C61)</f>
        <v>#N/A</v>
      </c>
      <c r="T61" s="44" t="e">
        <f aca="false">IF(J61="",NA(),J61)</f>
        <v>#N/A</v>
      </c>
      <c r="U61" s="45" t="e">
        <f aca="false">IF(H61="",NA(),H61)</f>
        <v>#N/A</v>
      </c>
    </row>
    <row r="64" customFormat="false" ht="15" hidden="false" customHeight="false" outlineLevel="0" collapsed="false">
      <c r="A64" s="0" t="s">
        <v>97</v>
      </c>
      <c r="B64" s="37" t="n">
        <f aca="false">COUNTA('Monthly Log'!B2:B61)</f>
        <v>0</v>
      </c>
    </row>
    <row r="65" customFormat="false" ht="15" hidden="false" customHeight="false" outlineLevel="0" collapsed="false">
      <c r="A65" s="0" t="s">
        <v>98</v>
      </c>
      <c r="B65" s="46" t="str">
        <f aca="false">IF(B64=0,"",INDEX('Monthly Log'!A2:A61,B64))</f>
        <v/>
      </c>
    </row>
    <row r="66" customFormat="false" ht="15" hidden="false" customHeight="false" outlineLevel="0" collapsed="false">
      <c r="A66" s="0" t="s">
        <v>99</v>
      </c>
      <c r="B66" s="43" t="n">
        <f aca="false">IF(B64=0,0,'Monthly Log'!O2)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2026-07-03T12:02:11Z</dcterms:created>
  <dc:creator>openpyxl</dc:creator>
  <dc:description/>
  <dc:language>en-US</dc:language>
  <cp:lastModifiedBy/>
  <dcterms:modified xsi:type="dcterms:W3CDTF">2026-07-03T17:47:12Z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