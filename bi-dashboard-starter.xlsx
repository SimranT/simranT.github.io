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onthly Data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<sst xmlns="http://schemas.openxmlformats.org/spreadsheetml/2006/main" count="50" uniqueCount="45">
  <si>
    <t xml:space="preserve">BI Dashboard Starter</t>
  </si>
  <si>
    <t xml:space="preserve">Built by Simran Tiwari — simrant.github.io</t>
  </si>
  <si>
    <t xml:space="preserve">This is the same KPI dashboard structure I use for client reporting. Plug in your own monthly numbers on the Monthly Data tab, and the whole Dashboard — scorecards, trend charts, and the color-coded summary table — updates itself.</t>
  </si>
  <si>
    <t xml:space="preserve">How to use it</t>
  </si>
  <si>
    <t xml:space="preserve">1.  Go to the Monthly Data tab and replace the sample numbers with your own — one row per month.</t>
  </si>
  <si>
    <t xml:space="preserve">2.  Only edit the pale-yellow cells (Revenue, New Customers, Churned Customers, Active Customers, Marketing Spend, Orders). Everything else is a formula — don't type over it.</t>
  </si>
  <si>
    <t xml:space="preserve">3.  To add a new month, insert a row above the last data row so the formulas and charts extend automatically.</t>
  </si>
  <si>
    <t xml:space="preserve">4.  The Dashboard tab reads live from Monthly Data. Nothing on Dashboard needs manual editing.</t>
  </si>
  <si>
    <t xml:space="preserve">5.  Green means the number moved the right direction month-over-month; red means it moved the wrong way. For churn and cost per customer, down is green — for revenue and active customers, up is green.</t>
  </si>
  <si>
    <t xml:space="preserve">What's inside</t>
  </si>
  <si>
    <t xml:space="preserve">•  Monthly Data — your editable input tab, plus the formulas that turn raw numbers into KPIs</t>
  </si>
  <si>
    <t xml:space="preserve">•  Dashboard — 5 KPI scorecards, 3 pre-built charts, and a color-coded monthly summary table</t>
  </si>
  <si>
    <t xml:space="preserve">Questions or want the next template in this series? simran.st1197@gmail.com</t>
  </si>
  <si>
    <t xml:space="preserve">Month</t>
  </si>
  <si>
    <t xml:space="preserve">Revenue ($)</t>
  </si>
  <si>
    <t xml:space="preserve">New Customers</t>
  </si>
  <si>
    <t xml:space="preserve">Churned Customers</t>
  </si>
  <si>
    <t xml:space="preserve">Active Customers</t>
  </si>
  <si>
    <t xml:space="preserve">Marketing Spend ($)</t>
  </si>
  <si>
    <t xml:space="preserve">Orders</t>
  </si>
  <si>
    <t xml:space="preserve">Revenue MoM %</t>
  </si>
  <si>
    <t xml:space="preserve">Churn Rate</t>
  </si>
  <si>
    <t xml:space="preserve">CAC ($)</t>
  </si>
  <si>
    <t xml:space="preserve">AOV ($)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</si>
  <si>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</si>
  <si>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</si>
  <si>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</si>
  <si>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</si>
  <si>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</si>
  <si>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</si>
  <si>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</si>
  <si>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</si>
  <si>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</si>
  <si>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</si>
  <si>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</si>
  <si>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</si>
  <si>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Pale yellow cells = edit these. Everything else is a formula.</t>
  </si>
  <si>
    <t xml:space="preserve">REVENUE</t>
  </si>
  <si>
    <t xml:space="preserve">ACTIVE CUSTOMERS</t>
  </si>
  <si>
    <t xml:space="preserve">CHURN RATE</t>
  </si>
  <si>
    <t xml:space="preserve">CAC</t>
  </si>
  <si>
    <t xml:space="preserve">AOV</t>
  </si>
  <si>
    <t xml:space="preserve">Monthly Summary</t>
  </si>
  <si>
    <t xml:space="preserve">Revenue</t>
  </si>
  <si>
    <t xml:space="preserve">Rev MoM 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</si>
</sst>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#,##0"/>
    <numFmt numFmtId="167" formatCode="0.0%"/>
    <numFmt numFmtId="168" formatCode="\$#,##0.00"/>
    <numFmt numFmtId="169" formatCode="\+0.0%;\-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B2B4B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sz val="11"/>
      <color rgb="FF222222"/>
      <name val="Calibri"/>
      <family val="0"/>
      <charset val="1"/>
    </font>
    <font>
      <b val="true"/>
      <sz val="14"/>
      <color rgb="FF1B2B4B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6B7280"/>
      <name val="Cambria"/>
      <family val="0"/>
      <charset val="1"/>
    </font>
    <font>
      <i val="true"/>
      <sz val="9"/>
      <color rgb="FF6B7280"/>
      <name val="Cambria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1B2B4B"/>
      <name val="Calibri"/>
      <family val="0"/>
      <charset val="1"/>
    </font>
    <font>
      <b val="true"/>
      <sz val="11"/>
      <color rgb="FF6B728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2B4B"/>
        <bgColor rgb="FF222222"/>
      </patternFill>
    </fill>
    <fill>
      <patternFill patternType="solid">
        <fgColor rgb="FFFFF6D9"/>
        <bgColor rgb="FFF9F9F9"/>
      </patternFill>
    </fill>
    <fill>
      <patternFill patternType="solid">
        <fgColor rgb="FFF4F5F7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  <border diagonalUp="false" diagonalDown="false">
      <left style="thin">
        <color rgb="FFD9DCE3"/>
      </left>
      <right/>
      <top style="thin">
        <color rgb="FFD9DCE3"/>
      </top>
      <bottom style="thin">
        <color rgb="FFD9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E8E5A"/>
      </font>
    </dxf>
    <dxf>
      <font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6D9"/>
      <rgbColor rgb="FFF4F5F7"/>
      <rgbColor rgb="FF660066"/>
      <rgbColor rgb="FFFF8080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94F"/>
      <rgbColor rgb="FFFF6600"/>
      <rgbColor rgb="FF6B7280"/>
      <rgbColor rgb="FF969696"/>
      <rgbColor rgb="FF003366"/>
      <rgbColor rgb="FF1E8E5A"/>
      <rgbColor rgb="FF003300"/>
      <rgbColor rgb="FF222222"/>
      <rgbColor rgb="FFC0392B"/>
      <rgbColor rgb="FF993366"/>
      <rgbColor rgb="FF333399"/>
      <rgbColor rgb="FF1B2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Data'!B1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D4A94F"/>
            </a:solidFill>
            <a:ln w="21960">
              <a:solidFill>
                <a:srgbClr val="D4A9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Data'!$A$2:$A$13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'Monthly Data'!$B$2:$B$13</c:f>
              <c:numCache>
                <c:formatCode>\$#,##0</c:formatCode>
                <c:ptCount val="12"/>
                <c:pt idx="0">
                  <c:v>41200</c:v>
                </c:pt>
                <c:pt idx="1">
                  <c:v>43500</c:v>
                </c:pt>
                <c:pt idx="2">
                  <c:v>45100</c:v>
                </c:pt>
                <c:pt idx="3">
                  <c:v>47800</c:v>
                </c:pt>
                <c:pt idx="4">
                  <c:v>46900</c:v>
                </c:pt>
                <c:pt idx="5">
                  <c:v>49200</c:v>
                </c:pt>
                <c:pt idx="6">
                  <c:v>52400</c:v>
                </c:pt>
                <c:pt idx="7">
                  <c:v>54100</c:v>
                </c:pt>
                <c:pt idx="8">
                  <c:v>53600</c:v>
                </c:pt>
                <c:pt idx="9">
                  <c:v>57200</c:v>
                </c:pt>
                <c:pt idx="10">
                  <c:v>59800</c:v>
                </c:pt>
                <c:pt idx="11">
                  <c:v>63500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927474"/>
        <c:axId val="78639875"/>
      </c:lineChart>
      <c:catAx>
        <c:axId val="639274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639875"/>
        <c:crosses val="autoZero"/>
        <c:auto val="1"/>
        <c:lblAlgn val="ctr"/>
        <c:lblOffset val="100"/>
        <c:noMultiLvlLbl val="0"/>
      </c:catAx>
      <c:valAx>
        <c:axId val="786398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92747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Active Customers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Data'!E1</c:f>
              <c:strCache>
                <c:ptCount val="1"/>
                <c:pt idx="0">
                  <c:v>Active Customers</c:v>
                </c:pt>
              </c:strCache>
            </c:strRef>
          </c:tx>
          <c:spPr>
            <a:solidFill>
              <a:srgbClr val="1B2B4B"/>
            </a:solidFill>
            <a:ln w="21960">
              <a:solidFill>
                <a:srgbClr val="1B2B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Data'!$A$2:$A$13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'Monthly Data'!$E$2:$E$13</c:f>
              <c:numCache>
                <c:formatCode>#,##0</c:formatCode>
                <c:ptCount val="12"/>
                <c:pt idx="0">
                  <c:v>3370</c:v>
                </c:pt>
                <c:pt idx="1">
                  <c:v>3563</c:v>
                </c:pt>
                <c:pt idx="2">
                  <c:v>3710</c:v>
                </c:pt>
                <c:pt idx="3">
                  <c:v>3922</c:v>
                </c:pt>
                <c:pt idx="4">
                  <c:v>4072</c:v>
                </c:pt>
                <c:pt idx="5">
                  <c:v>4292</c:v>
                </c:pt>
                <c:pt idx="6">
                  <c:v>4548</c:v>
                </c:pt>
                <c:pt idx="7">
                  <c:v>4765</c:v>
                </c:pt>
                <c:pt idx="8">
                  <c:v>4935</c:v>
                </c:pt>
                <c:pt idx="9">
                  <c:v>5200</c:v>
                </c:pt>
                <c:pt idx="10">
                  <c:v>5492</c:v>
                </c:pt>
                <c:pt idx="11">
                  <c:v>5797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342471"/>
        <c:axId val="17976561"/>
      </c:lineChart>
      <c:catAx>
        <c:axId val="59342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976561"/>
        <c:crosses val="autoZero"/>
        <c:auto val="1"/>
        <c:lblAlgn val="ctr"/>
        <c:lblOffset val="100"/>
        <c:noMultiLvlLbl val="0"/>
      </c:catAx>
      <c:valAx>
        <c:axId val="179765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3424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New vs. Churned 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Data'!C1</c:f>
              <c:strCache>
                <c:ptCount val="1"/>
                <c:pt idx="0">
                  <c:v>New Customers</c:v>
                </c:pt>
              </c:strCache>
            </c:strRef>
          </c:tx>
          <c:spPr>
            <a:solidFill>
              <a:srgbClr val="1E8E5A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Data'!$A$2:$A$13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'Monthly Data'!$C$2:$C$13</c:f>
              <c:numCache>
                <c:formatCode>#,##0</c:formatCode>
                <c:ptCount val="12"/>
                <c:pt idx="0">
                  <c:v>310</c:v>
                </c:pt>
                <c:pt idx="1">
                  <c:v>325</c:v>
                </c:pt>
                <c:pt idx="2">
                  <c:v>298</c:v>
                </c:pt>
                <c:pt idx="3">
                  <c:v>340</c:v>
                </c:pt>
                <c:pt idx="4">
                  <c:v>315</c:v>
                </c:pt>
                <c:pt idx="5">
                  <c:v>360</c:v>
                </c:pt>
                <c:pt idx="6">
                  <c:v>388</c:v>
                </c:pt>
                <c:pt idx="7">
                  <c:v>375</c:v>
                </c:pt>
                <c:pt idx="8">
                  <c:v>340</c:v>
                </c:pt>
                <c:pt idx="9">
                  <c:v>410</c:v>
                </c:pt>
                <c:pt idx="10">
                  <c:v>430</c:v>
                </c:pt>
                <c:pt idx="11">
                  <c:v>455</c:v>
                </c:pt>
              </c:numCache>
            </c:numRef>
          </c:val>
        </c:ser>
        <c:ser>
          <c:idx val="1"/>
          <c:order val="1"/>
          <c:tx>
            <c:strRef>
              <c:f>'Monthly Data'!D1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rgbClr val="C0392B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Data'!$A$2:$A$13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'Monthly Data'!$D$2:$D$13</c:f>
              <c:numCache>
                <c:formatCode>#,##0</c:formatCode>
                <c:ptCount val="12"/>
                <c:pt idx="0">
                  <c:v>140</c:v>
                </c:pt>
                <c:pt idx="1">
                  <c:v>132</c:v>
                </c:pt>
                <c:pt idx="2">
                  <c:v>151</c:v>
                </c:pt>
                <c:pt idx="3">
                  <c:v>128</c:v>
                </c:pt>
                <c:pt idx="4">
                  <c:v>165</c:v>
                </c:pt>
                <c:pt idx="5">
                  <c:v>140</c:v>
                </c:pt>
                <c:pt idx="6">
                  <c:v>132</c:v>
                </c:pt>
                <c:pt idx="7">
                  <c:v>158</c:v>
                </c:pt>
                <c:pt idx="8">
                  <c:v>170</c:v>
                </c:pt>
                <c:pt idx="9">
                  <c:v>145</c:v>
                </c:pt>
                <c:pt idx="10">
                  <c:v>138</c:v>
                </c:pt>
                <c:pt idx="11">
                  <c:v>150</c:v>
                </c:pt>
              </c:numCache>
            </c:numRef>
          </c:val>
        </c:ser>
        <c:gapWidth val="150"/>
        <c:overlap val="0"/>
        <c:axId val="10080388"/>
        <c:axId val="50548905"/>
      </c:barChart>
      <c:catAx>
        <c:axId val="100803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548905"/>
        <c:crosses val="autoZero"/>
        <c:auto val="1"/>
        <c:lblAlgn val="ctr"/>
        <c:lblOffset val="100"/>
        <c:noMultiLvlLbl val="0"/>
      </c:catAx>
      <c:valAx>
        <c:axId val="50548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0803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7</xdr:col>
      <xdr:colOff>714240</xdr:colOff>
      <xdr:row>23</xdr:row>
      <xdr:rowOff>22320</xdr:rowOff>
    </xdr:to>
    <xdr:graphicFrame>
      <xdr:nvGraphicFramePr>
        <xdr:cNvPr id="1" name="Chart 1"/>
        <xdr:cNvGraphicFramePr/>
      </xdr:nvGraphicFramePr>
      <xdr:xfrm>
        <a:off x="176400" y="204804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14</xdr:col>
      <xdr:colOff>102600</xdr:colOff>
      <xdr:row>23</xdr:row>
      <xdr:rowOff>22320</xdr:rowOff>
    </xdr:to>
    <xdr:graphicFrame>
      <xdr:nvGraphicFramePr>
        <xdr:cNvPr id="2" name="Chart 2"/>
        <xdr:cNvGraphicFramePr/>
      </xdr:nvGraphicFramePr>
      <xdr:xfrm>
        <a:off x="5041800" y="204804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7</xdr:col>
      <xdr:colOff>714240</xdr:colOff>
      <xdr:row>39</xdr:row>
      <xdr:rowOff>21960</xdr:rowOff>
    </xdr:to>
    <xdr:graphicFrame>
      <xdr:nvGraphicFramePr>
        <xdr:cNvPr id="3" name="Chart 3"/>
        <xdr:cNvGraphicFramePr/>
      </xdr:nvGraphicFramePr>
      <xdr:xfrm>
        <a:off x="176400" y="509580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2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8" hidden="false" customHeight="true" outlineLevel="0" collapsed="false">
      <c r="B5" s="3" t="s">
        <v>2</v>
      </c>
    </row>
    <row r="7" customFormat="false" ht="17.35" hidden="false" customHeight="false" outlineLevel="0" collapsed="false">
      <c r="B7" s="4" t="s">
        <v>3</v>
      </c>
    </row>
    <row r="8" customFormat="false" ht="31.5" hidden="false" customHeight="true" outlineLevel="0" collapsed="false">
      <c r="B8" s="3" t="s">
        <v>4</v>
      </c>
    </row>
    <row r="9" customFormat="false" ht="31.5" hidden="false" customHeight="true" outlineLevel="0" collapsed="false">
      <c r="B9" s="3" t="s">
        <v>5</v>
      </c>
    </row>
    <row r="10" customFormat="false" ht="31.5" hidden="false" customHeight="true" outlineLevel="0" collapsed="false">
      <c r="B10" s="3" t="s">
        <v>6</v>
      </c>
    </row>
    <row r="11" customFormat="false" ht="31.5" hidden="false" customHeight="true" outlineLevel="0" collapsed="false">
      <c r="B11" s="3" t="s">
        <v>7</v>
      </c>
    </row>
    <row r="12" customFormat="false" ht="31.5" hidden="false" customHeight="true" outlineLevel="0" collapsed="false">
      <c r="B12" s="3" t="s">
        <v>8</v>
      </c>
    </row>
    <row r="14" customFormat="false" ht="17.35" hidden="false" customHeight="false" outlineLevel="0" collapsed="false">
      <c r="B14" s="4" t="s">
        <v>9</v>
      </c>
    </row>
    <row r="15" customFormat="false" ht="19.5" hidden="false" customHeight="true" outlineLevel="0" collapsed="false">
      <c r="B15" s="5" t="s">
        <v>10</v>
      </c>
    </row>
    <row r="16" customFormat="false" ht="19.5" hidden="false" customHeight="true" outlineLevel="0" collapsed="false">
      <c r="B16" s="5" t="s">
        <v>11</v>
      </c>
    </row>
    <row r="19" customFormat="false" ht="15" hidden="false" customHeight="false" outlineLevel="0" collapsed="false">
      <c r="B19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11" min="9" style="0" width="12"/>
  </cols>
  <sheetData>
    <row r="1" customFormat="false" ht="30" hidden="false" customHeight="true" outlineLevel="0" collapsed="false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</row>
    <row r="2" customFormat="false" ht="15" hidden="false" customHeight="false" outlineLevel="0" collapsed="false">
      <c r="A2" s="8" t="s">
        <v>24</v>
      </c>
      <c r="B2" s="9" t="n">
        <v>41200</v>
      </c>
      <c r="C2" s="10" t="n">
        <v>310</v>
      </c>
      <c r="D2" s="10" t="n">
        <v>140</v>
      </c>
      <c r="E2" s="11" t="n">
        <f aca="false">3200+C2-D2</f>
        <v>3370</v>
      </c>
      <c r="F2" s="9" t="n">
        <v>9800</v>
      </c>
      <c r="G2" s="10" t="n">
        <v>1980</v>
      </c>
      <c r="H2" s="12"/>
      <c r="I2" s="12" t="n">
        <f aca="false">D2/3200</f>
        <v>0.04375</v>
      </c>
      <c r="J2" s="13" t="n">
        <f aca="false">F2/C2</f>
        <v>31.6129032258065</v>
      </c>
      <c r="K2" s="13" t="n">
        <f aca="false">B2/G2</f>
        <v>20.8080808080808</v>
      </c>
    </row>
    <row r="3" customFormat="false" ht="15" hidden="false" customHeight="false" outlineLevel="0" collapsed="false">
      <c r="A3" s="8" t="s">
        <v>25</v>
      </c>
      <c r="B3" s="9" t="n">
        <v>43500</v>
      </c>
      <c r="C3" s="10" t="n">
        <v>325</v>
      </c>
      <c r="D3" s="10" t="n">
        <v>132</v>
      </c>
      <c r="E3" s="11" t="n">
        <f aca="false">E2+C3-D3</f>
        <v>3563</v>
      </c>
      <c r="F3" s="9" t="n">
        <v>10200</v>
      </c>
      <c r="G3" s="10" t="n">
        <v>2050</v>
      </c>
      <c r="H3" s="12" t="n">
        <f aca="false">(B3-B2)/B2</f>
        <v>0.0558252427184466</v>
      </c>
      <c r="I3" s="12" t="n">
        <f aca="false">D3/E2</f>
        <v>0.0391691394658754</v>
      </c>
      <c r="J3" s="13" t="n">
        <f aca="false">F3/C3</f>
        <v>31.3846153846154</v>
      </c>
      <c r="K3" s="13" t="n">
        <f aca="false">B3/G3</f>
        <v>21.219512195122</v>
      </c>
    </row>
    <row r="4" customFormat="false" ht="15" hidden="false" customHeight="false" outlineLevel="0" collapsed="false">
      <c r="A4" s="8" t="s">
        <v>26</v>
      </c>
      <c r="B4" s="9" t="n">
        <v>45100</v>
      </c>
      <c r="C4" s="10" t="n">
        <v>298</v>
      </c>
      <c r="D4" s="10" t="n">
        <v>151</v>
      </c>
      <c r="E4" s="11" t="n">
        <f aca="false">E3+C4-D4</f>
        <v>3710</v>
      </c>
      <c r="F4" s="9" t="n">
        <v>9600</v>
      </c>
      <c r="G4" s="10" t="n">
        <v>2120</v>
      </c>
      <c r="H4" s="12" t="n">
        <f aca="false">(B4-B3)/B3</f>
        <v>0.0367816091954023</v>
      </c>
      <c r="I4" s="12" t="n">
        <f aca="false">D4/E3</f>
        <v>0.0423800168397418</v>
      </c>
      <c r="J4" s="13" t="n">
        <f aca="false">F4/C4</f>
        <v>32.2147651006711</v>
      </c>
      <c r="K4" s="13" t="n">
        <f aca="false">B4/G4</f>
        <v>21.2735849056604</v>
      </c>
    </row>
    <row r="5" customFormat="false" ht="15" hidden="false" customHeight="false" outlineLevel="0" collapsed="false">
      <c r="A5" s="8" t="s">
        <v>27</v>
      </c>
      <c r="B5" s="9" t="n">
        <v>47800</v>
      </c>
      <c r="C5" s="10" t="n">
        <v>340</v>
      </c>
      <c r="D5" s="10" t="n">
        <v>128</v>
      </c>
      <c r="E5" s="11" t="n">
        <f aca="false">E4+C5-D5</f>
        <v>3922</v>
      </c>
      <c r="F5" s="9" t="n">
        <v>11000</v>
      </c>
      <c r="G5" s="10" t="n">
        <v>2240</v>
      </c>
      <c r="H5" s="12" t="n">
        <f aca="false">(B5-B4)/B4</f>
        <v>0.0598669623059867</v>
      </c>
      <c r="I5" s="12" t="n">
        <f aca="false">D5/E4</f>
        <v>0.0345013477088949</v>
      </c>
      <c r="J5" s="13" t="n">
        <f aca="false">F5/C5</f>
        <v>32.3529411764706</v>
      </c>
      <c r="K5" s="13" t="n">
        <f aca="false">B5/G5</f>
        <v>21.3392857142857</v>
      </c>
    </row>
    <row r="6" customFormat="false" ht="15" hidden="false" customHeight="false" outlineLevel="0" collapsed="false">
      <c r="A6" s="8" t="s">
        <v>28</v>
      </c>
      <c r="B6" s="9" t="n">
        <v>46900</v>
      </c>
      <c r="C6" s="10" t="n">
        <v>315</v>
      </c>
      <c r="D6" s="10" t="n">
        <v>165</v>
      </c>
      <c r="E6" s="11" t="n">
        <f aca="false">E5+C6-D6</f>
        <v>4072</v>
      </c>
      <c r="F6" s="9" t="n">
        <v>10500</v>
      </c>
      <c r="G6" s="10" t="n">
        <v>2190</v>
      </c>
      <c r="H6" s="12" t="n">
        <f aca="false">(B6-B5)/B5</f>
        <v>-0.0188284518828452</v>
      </c>
      <c r="I6" s="12" t="n">
        <f aca="false">D6/E5</f>
        <v>0.0420703722590515</v>
      </c>
      <c r="J6" s="13" t="n">
        <f aca="false">F6/C6</f>
        <v>33.3333333333333</v>
      </c>
      <c r="K6" s="13" t="n">
        <f aca="false">B6/G6</f>
        <v>21.4155251141553</v>
      </c>
    </row>
    <row r="7" customFormat="false" ht="15" hidden="false" customHeight="false" outlineLevel="0" collapsed="false">
      <c r="A7" s="8" t="s">
        <v>29</v>
      </c>
      <c r="B7" s="9" t="n">
        <v>49200</v>
      </c>
      <c r="C7" s="10" t="n">
        <v>360</v>
      </c>
      <c r="D7" s="10" t="n">
        <v>140</v>
      </c>
      <c r="E7" s="11" t="n">
        <f aca="false">E6+C7-D7</f>
        <v>4292</v>
      </c>
      <c r="F7" s="9" t="n">
        <v>11800</v>
      </c>
      <c r="G7" s="10" t="n">
        <v>2310</v>
      </c>
      <c r="H7" s="12" t="n">
        <f aca="false">(B7-B6)/B6</f>
        <v>0.0490405117270789</v>
      </c>
      <c r="I7" s="12" t="n">
        <f aca="false">D7/E6</f>
        <v>0.0343811394891945</v>
      </c>
      <c r="J7" s="13" t="n">
        <f aca="false">F7/C7</f>
        <v>32.7777777777778</v>
      </c>
      <c r="K7" s="13" t="n">
        <f aca="false">B7/G7</f>
        <v>21.2987012987013</v>
      </c>
    </row>
    <row r="8" customFormat="false" ht="15" hidden="false" customHeight="false" outlineLevel="0" collapsed="false">
      <c r="A8" s="8" t="s">
        <v>30</v>
      </c>
      <c r="B8" s="9" t="n">
        <v>52400</v>
      </c>
      <c r="C8" s="10" t="n">
        <v>388</v>
      </c>
      <c r="D8" s="10" t="n">
        <v>132</v>
      </c>
      <c r="E8" s="11" t="n">
        <f aca="false">E7+C8-D8</f>
        <v>4548</v>
      </c>
      <c r="F8" s="9" t="n">
        <v>12600</v>
      </c>
      <c r="G8" s="10" t="n">
        <v>2460</v>
      </c>
      <c r="H8" s="12" t="n">
        <f aca="false">(B8-B7)/B7</f>
        <v>0.0650406504065041</v>
      </c>
      <c r="I8" s="12" t="n">
        <f aca="false">D8/E7</f>
        <v>0.0307548928238583</v>
      </c>
      <c r="J8" s="13" t="n">
        <f aca="false">F8/C8</f>
        <v>32.4742268041237</v>
      </c>
      <c r="K8" s="13" t="n">
        <f aca="false">B8/G8</f>
        <v>21.3008130081301</v>
      </c>
    </row>
    <row r="9" customFormat="false" ht="15" hidden="false" customHeight="false" outlineLevel="0" collapsed="false">
      <c r="A9" s="8" t="s">
        <v>31</v>
      </c>
      <c r="B9" s="9" t="n">
        <v>54100</v>
      </c>
      <c r="C9" s="10" t="n">
        <v>375</v>
      </c>
      <c r="D9" s="10" t="n">
        <v>158</v>
      </c>
      <c r="E9" s="11" t="n">
        <f aca="false">E8+C9-D9</f>
        <v>4765</v>
      </c>
      <c r="F9" s="9" t="n">
        <v>12200</v>
      </c>
      <c r="G9" s="10" t="n">
        <v>2540</v>
      </c>
      <c r="H9" s="12" t="n">
        <f aca="false">(B9-B8)/B8</f>
        <v>0.0324427480916031</v>
      </c>
      <c r="I9" s="12" t="n">
        <f aca="false">D9/E8</f>
        <v>0.034740545294635</v>
      </c>
      <c r="J9" s="13" t="n">
        <f aca="false">F9/C9</f>
        <v>32.5333333333333</v>
      </c>
      <c r="K9" s="13" t="n">
        <f aca="false">B9/G9</f>
        <v>21.2992125984252</v>
      </c>
    </row>
    <row r="10" customFormat="false" ht="15" hidden="false" customHeight="false" outlineLevel="0" collapsed="false">
      <c r="A10" s="8" t="s">
        <v>32</v>
      </c>
      <c r="B10" s="9" t="n">
        <v>53600</v>
      </c>
      <c r="C10" s="10" t="n">
        <v>340</v>
      </c>
      <c r="D10" s="10" t="n">
        <v>170</v>
      </c>
      <c r="E10" s="11" t="n">
        <f aca="false">E9+C10-D10</f>
        <v>4935</v>
      </c>
      <c r="F10" s="9" t="n">
        <v>11400</v>
      </c>
      <c r="G10" s="10" t="n">
        <v>2510</v>
      </c>
      <c r="H10" s="12" t="n">
        <f aca="false">(B10-B9)/B9</f>
        <v>-0.00924214417744917</v>
      </c>
      <c r="I10" s="12" t="n">
        <f aca="false">D10/E9</f>
        <v>0.0356768100734523</v>
      </c>
      <c r="J10" s="13" t="n">
        <f aca="false">F10/C10</f>
        <v>33.5294117647059</v>
      </c>
      <c r="K10" s="13" t="n">
        <f aca="false">B10/G10</f>
        <v>21.3545816733068</v>
      </c>
    </row>
    <row r="11" customFormat="false" ht="15" hidden="false" customHeight="false" outlineLevel="0" collapsed="false">
      <c r="A11" s="8" t="s">
        <v>33</v>
      </c>
      <c r="B11" s="9" t="n">
        <v>57200</v>
      </c>
      <c r="C11" s="10" t="n">
        <v>410</v>
      </c>
      <c r="D11" s="10" t="n">
        <v>145</v>
      </c>
      <c r="E11" s="11" t="n">
        <f aca="false">E10+C11-D11</f>
        <v>5200</v>
      </c>
      <c r="F11" s="9" t="n">
        <v>13100</v>
      </c>
      <c r="G11" s="10" t="n">
        <v>2680</v>
      </c>
      <c r="H11" s="12" t="n">
        <f aca="false">(B11-B10)/B10</f>
        <v>0.0671641791044776</v>
      </c>
      <c r="I11" s="12" t="n">
        <f aca="false">D11/E10</f>
        <v>0.0293819655521783</v>
      </c>
      <c r="J11" s="13" t="n">
        <f aca="false">F11/C11</f>
        <v>31.9512195121951</v>
      </c>
      <c r="K11" s="13" t="n">
        <f aca="false">B11/G11</f>
        <v>21.3432835820896</v>
      </c>
    </row>
    <row r="12" customFormat="false" ht="15" hidden="false" customHeight="false" outlineLevel="0" collapsed="false">
      <c r="A12" s="8" t="s">
        <v>34</v>
      </c>
      <c r="B12" s="9" t="n">
        <v>59800</v>
      </c>
      <c r="C12" s="10" t="n">
        <v>430</v>
      </c>
      <c r="D12" s="10" t="n">
        <v>138</v>
      </c>
      <c r="E12" s="11" t="n">
        <f aca="false">E11+C12-D12</f>
        <v>5492</v>
      </c>
      <c r="F12" s="9" t="n">
        <v>13800</v>
      </c>
      <c r="G12" s="10" t="n">
        <v>2790</v>
      </c>
      <c r="H12" s="12" t="n">
        <f aca="false">(B12-B11)/B11</f>
        <v>0.0454545454545455</v>
      </c>
      <c r="I12" s="12" t="n">
        <f aca="false">D12/E11</f>
        <v>0.0265384615384615</v>
      </c>
      <c r="J12" s="13" t="n">
        <f aca="false">F12/C12</f>
        <v>32.093023255814</v>
      </c>
      <c r="K12" s="13" t="n">
        <f aca="false">B12/G12</f>
        <v>21.4336917562724</v>
      </c>
    </row>
    <row r="13" customFormat="false" ht="15" hidden="false" customHeight="false" outlineLevel="0" collapsed="false">
      <c r="A13" s="8" t="s">
        <v>35</v>
      </c>
      <c r="B13" s="9" t="n">
        <v>63500</v>
      </c>
      <c r="C13" s="10" t="n">
        <v>455</v>
      </c>
      <c r="D13" s="10" t="n">
        <v>150</v>
      </c>
      <c r="E13" s="11" t="n">
        <f aca="false">E12+C13-D13</f>
        <v>5797</v>
      </c>
      <c r="F13" s="9" t="n">
        <v>14600</v>
      </c>
      <c r="G13" s="10" t="n">
        <v>2960</v>
      </c>
      <c r="H13" s="12" t="n">
        <f aca="false">(B13-B12)/B12</f>
        <v>0.0618729096989967</v>
      </c>
      <c r="I13" s="12" t="n">
        <f aca="false">D13/E12</f>
        <v>0.0273124544792425</v>
      </c>
      <c r="J13" s="13" t="n">
        <f aca="false">F13/C13</f>
        <v>32.0879120879121</v>
      </c>
      <c r="K13" s="13" t="n">
        <f aca="false">B13/G13</f>
        <v>21.4527027027027</v>
      </c>
    </row>
    <row r="15" customFormat="false" ht="15" hidden="false" customHeight="false" outlineLevel="0" collapsed="false">
      <c r="A15" s="1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13" min="2" style="0" width="11.5"/>
  </cols>
  <sheetData>
    <row r="2" customFormat="false" ht="31.5" hidden="false" customHeight="true" outlineLevel="0" collapsed="false">
      <c r="B2" s="15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customFormat="false" ht="19.5" hidden="false" customHeight="true" outlineLevel="0" collapsed="false">
      <c r="B3" s="16" t="str">
        <f aca="false">"Reporting Period: "&amp;'Monthly Data'!A13&amp;"  |  vs. "&amp;'Monthly Data'!A12</f>
        <v>Reporting Period: Dec 2025  |  vs. Nov 2025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5" customFormat="false" ht="19.5" hidden="false" customHeight="true" outlineLevel="0" collapsed="false">
      <c r="B5" s="17" t="s">
        <v>37</v>
      </c>
      <c r="C5" s="17"/>
      <c r="D5" s="17" t="s">
        <v>38</v>
      </c>
      <c r="E5" s="17"/>
      <c r="F5" s="17" t="s">
        <v>39</v>
      </c>
      <c r="G5" s="17"/>
      <c r="H5" s="17" t="s">
        <v>40</v>
      </c>
      <c r="I5" s="17"/>
      <c r="J5" s="17" t="s">
        <v>41</v>
      </c>
      <c r="K5" s="17"/>
    </row>
    <row r="6" customFormat="false" ht="27.75" hidden="false" customHeight="true" outlineLevel="0" collapsed="false">
      <c r="B6" s="18" t="n">
        <f aca="false">'Monthly Data'!B13</f>
        <v>63500</v>
      </c>
      <c r="C6" s="18"/>
      <c r="D6" s="19" t="n">
        <f aca="false">'Monthly Data'!E13</f>
        <v>5797</v>
      </c>
      <c r="E6" s="19"/>
      <c r="F6" s="20" t="n">
        <f aca="false">'Monthly Data'!I13</f>
        <v>0.0273124544792425</v>
      </c>
      <c r="G6" s="20"/>
      <c r="H6" s="21" t="n">
        <f aca="false">'Monthly Data'!J13</f>
        <v>32.0879120879121</v>
      </c>
      <c r="I6" s="21"/>
      <c r="J6" s="21" t="n">
        <f aca="false">'Monthly Data'!K13</f>
        <v>21.4527027027027</v>
      </c>
      <c r="K6" s="21"/>
    </row>
    <row r="7" customFormat="false" ht="18" hidden="false" customHeight="true" outlineLevel="0" collapsed="false">
      <c r="B7" s="22" t="n">
        <f aca="false">'Monthly Data'!H13</f>
        <v>0.0618729096989967</v>
      </c>
      <c r="C7" s="22"/>
      <c r="D7" s="22" t="n">
        <f aca="false">('Monthly Data'!E13-'Monthly Data'!E12)/'Monthly Data'!E12</f>
        <v>0.0555353241077932</v>
      </c>
      <c r="E7" s="22"/>
      <c r="F7" s="22" t="n">
        <f aca="false">'Monthly Data'!I13-'Monthly Data'!I12</f>
        <v>0.000773992940780996</v>
      </c>
      <c r="G7" s="22"/>
      <c r="H7" s="22" t="n">
        <f aca="false">('Monthly Data'!J13-'Monthly Data'!J12)/'Monthly Data'!J12</f>
        <v>-0.000159261028826261</v>
      </c>
      <c r="I7" s="22"/>
      <c r="J7" s="22" t="n">
        <f aca="false">('Monthly Data'!K13-'Monthly Data'!K12)/'Monthly Data'!K12</f>
        <v>0.000886965560878508</v>
      </c>
      <c r="K7" s="22"/>
    </row>
    <row r="42" customFormat="false" ht="17.35" hidden="false" customHeight="false" outlineLevel="0" collapsed="false">
      <c r="B42" s="23" t="s">
        <v>42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customFormat="false" ht="25.5" hidden="false" customHeight="true" outlineLevel="0" collapsed="false">
      <c r="B43" s="7" t="s">
        <v>13</v>
      </c>
      <c r="C43" s="7" t="s">
        <v>43</v>
      </c>
      <c r="D43" s="7" t="s">
        <v>44</v>
      </c>
      <c r="E43" s="7" t="s">
        <v>17</v>
      </c>
      <c r="F43" s="7" t="s">
        <v>21</v>
      </c>
      <c r="G43" s="7" t="s">
        <v>40</v>
      </c>
    </row>
    <row r="44" customFormat="false" ht="15" hidden="false" customHeight="false" outlineLevel="0" collapsed="false">
      <c r="B44" s="24" t="str">
        <f aca="false">'Monthly Data'!A2</f>
        <v>Jan 2025</v>
      </c>
      <c r="C44" s="25" t="n">
        <f aca="false">'Monthly Data'!B2</f>
        <v>41200</v>
      </c>
      <c r="D44" s="26" t="str">
        <f aca="false">IF('Monthly Data'!H2="","",'Monthly Data'!H2)</f>
        <v/>
      </c>
      <c r="E44" s="27" t="n">
        <f aca="false">'Monthly Data'!E2</f>
        <v>3370</v>
      </c>
      <c r="F44" s="26" t="n">
        <f aca="false">'Monthly Data'!I2</f>
        <v>0.04375</v>
      </c>
      <c r="G44" s="28" t="n">
        <f aca="false">'Monthly Data'!J2</f>
        <v>31.6129032258065</v>
      </c>
    </row>
    <row r="45" customFormat="false" ht="15" hidden="false" customHeight="false" outlineLevel="0" collapsed="false">
      <c r="B45" s="24" t="str">
        <f aca="false">'Monthly Data'!A3</f>
        <v>Feb 2025</v>
      </c>
      <c r="C45" s="25" t="n">
        <f aca="false">'Monthly Data'!B3</f>
        <v>43500</v>
      </c>
      <c r="D45" s="26" t="n">
        <f aca="false">IF('Monthly Data'!H3="","",'Monthly Data'!H3)</f>
        <v>0.0558252427184466</v>
      </c>
      <c r="E45" s="27" t="n">
        <f aca="false">'Monthly Data'!E3</f>
        <v>3563</v>
      </c>
      <c r="F45" s="26" t="n">
        <f aca="false">'Monthly Data'!I3</f>
        <v>0.0391691394658754</v>
      </c>
      <c r="G45" s="28" t="n">
        <f aca="false">'Monthly Data'!J3</f>
        <v>31.3846153846154</v>
      </c>
    </row>
    <row r="46" customFormat="false" ht="15" hidden="false" customHeight="false" outlineLevel="0" collapsed="false">
      <c r="B46" s="24" t="str">
        <f aca="false">'Monthly Data'!A4</f>
        <v>Mar 2025</v>
      </c>
      <c r="C46" s="25" t="n">
        <f aca="false">'Monthly Data'!B4</f>
        <v>45100</v>
      </c>
      <c r="D46" s="26" t="n">
        <f aca="false">IF('Monthly Data'!H4="","",'Monthly Data'!H4)</f>
        <v>0.0367816091954023</v>
      </c>
      <c r="E46" s="27" t="n">
        <f aca="false">'Monthly Data'!E4</f>
        <v>3710</v>
      </c>
      <c r="F46" s="26" t="n">
        <f aca="false">'Monthly Data'!I4</f>
        <v>0.0423800168397418</v>
      </c>
      <c r="G46" s="28" t="n">
        <f aca="false">'Monthly Data'!J4</f>
        <v>32.2147651006711</v>
      </c>
    </row>
    <row r="47" customFormat="false" ht="15" hidden="false" customHeight="false" outlineLevel="0" collapsed="false">
      <c r="B47" s="24" t="str">
        <f aca="false">'Monthly Data'!A5</f>
        <v>Apr 2025</v>
      </c>
      <c r="C47" s="25" t="n">
        <f aca="false">'Monthly Data'!B5</f>
        <v>47800</v>
      </c>
      <c r="D47" s="26" t="n">
        <f aca="false">IF('Monthly Data'!H5="","",'Monthly Data'!H5)</f>
        <v>0.0598669623059867</v>
      </c>
      <c r="E47" s="27" t="n">
        <f aca="false">'Monthly Data'!E5</f>
        <v>3922</v>
      </c>
      <c r="F47" s="26" t="n">
        <f aca="false">'Monthly Data'!I5</f>
        <v>0.0345013477088949</v>
      </c>
      <c r="G47" s="28" t="n">
        <f aca="false">'Monthly Data'!J5</f>
        <v>32.3529411764706</v>
      </c>
    </row>
    <row r="48" customFormat="false" ht="15" hidden="false" customHeight="false" outlineLevel="0" collapsed="false">
      <c r="B48" s="24" t="str">
        <f aca="false">'Monthly Data'!A6</f>
        <v>May 2025</v>
      </c>
      <c r="C48" s="25" t="n">
        <f aca="false">'Monthly Data'!B6</f>
        <v>46900</v>
      </c>
      <c r="D48" s="26" t="n">
        <f aca="false">IF('Monthly Data'!H6="","",'Monthly Data'!H6)</f>
        <v>-0.0188284518828452</v>
      </c>
      <c r="E48" s="27" t="n">
        <f aca="false">'Monthly Data'!E6</f>
        <v>4072</v>
      </c>
      <c r="F48" s="26" t="n">
        <f aca="false">'Monthly Data'!I6</f>
        <v>0.0420703722590515</v>
      </c>
      <c r="G48" s="28" t="n">
        <f aca="false">'Monthly Data'!J6</f>
        <v>33.3333333333333</v>
      </c>
    </row>
    <row r="49" customFormat="false" ht="15" hidden="false" customHeight="false" outlineLevel="0" collapsed="false">
      <c r="B49" s="24" t="str">
        <f aca="false">'Monthly Data'!A7</f>
        <v>Jun 2025</v>
      </c>
      <c r="C49" s="25" t="n">
        <f aca="false">'Monthly Data'!B7</f>
        <v>49200</v>
      </c>
      <c r="D49" s="26" t="n">
        <f aca="false">IF('Monthly Data'!H7="","",'Monthly Data'!H7)</f>
        <v>0.0490405117270789</v>
      </c>
      <c r="E49" s="27" t="n">
        <f aca="false">'Monthly Data'!E7</f>
        <v>4292</v>
      </c>
      <c r="F49" s="26" t="n">
        <f aca="false">'Monthly Data'!I7</f>
        <v>0.0343811394891945</v>
      </c>
      <c r="G49" s="28" t="n">
        <f aca="false">'Monthly Data'!J7</f>
        <v>32.7777777777778</v>
      </c>
    </row>
    <row r="50" customFormat="false" ht="15" hidden="false" customHeight="false" outlineLevel="0" collapsed="false">
      <c r="B50" s="24" t="str">
        <f aca="false">'Monthly Data'!A8</f>
        <v>Jul 2025</v>
      </c>
      <c r="C50" s="25" t="n">
        <f aca="false">'Monthly Data'!B8</f>
        <v>52400</v>
      </c>
      <c r="D50" s="26" t="n">
        <f aca="false">IF('Monthly Data'!H8="","",'Monthly Data'!H8)</f>
        <v>0.0650406504065041</v>
      </c>
      <c r="E50" s="27" t="n">
        <f aca="false">'Monthly Data'!E8</f>
        <v>4548</v>
      </c>
      <c r="F50" s="26" t="n">
        <f aca="false">'Monthly Data'!I8</f>
        <v>0.0307548928238583</v>
      </c>
      <c r="G50" s="28" t="n">
        <f aca="false">'Monthly Data'!J8</f>
        <v>32.4742268041237</v>
      </c>
    </row>
    <row r="51" customFormat="false" ht="15" hidden="false" customHeight="false" outlineLevel="0" collapsed="false">
      <c r="B51" s="24" t="str">
        <f aca="false">'Monthly Data'!A9</f>
        <v>Aug 2025</v>
      </c>
      <c r="C51" s="25" t="n">
        <f aca="false">'Monthly Data'!B9</f>
        <v>54100</v>
      </c>
      <c r="D51" s="26" t="n">
        <f aca="false">IF('Monthly Data'!H9="","",'Monthly Data'!H9)</f>
        <v>0.0324427480916031</v>
      </c>
      <c r="E51" s="27" t="n">
        <f aca="false">'Monthly Data'!E9</f>
        <v>4765</v>
      </c>
      <c r="F51" s="26" t="n">
        <f aca="false">'Monthly Data'!I9</f>
        <v>0.034740545294635</v>
      </c>
      <c r="G51" s="28" t="n">
        <f aca="false">'Monthly Data'!J9</f>
        <v>32.5333333333333</v>
      </c>
    </row>
    <row r="52" customFormat="false" ht="15" hidden="false" customHeight="false" outlineLevel="0" collapsed="false">
      <c r="B52" s="24" t="str">
        <f aca="false">'Monthly Data'!A10</f>
        <v>Sep 2025</v>
      </c>
      <c r="C52" s="25" t="n">
        <f aca="false">'Monthly Data'!B10</f>
        <v>53600</v>
      </c>
      <c r="D52" s="26" t="n">
        <f aca="false">IF('Monthly Data'!H10="","",'Monthly Data'!H10)</f>
        <v>-0.00924214417744917</v>
      </c>
      <c r="E52" s="27" t="n">
        <f aca="false">'Monthly Data'!E10</f>
        <v>4935</v>
      </c>
      <c r="F52" s="26" t="n">
        <f aca="false">'Monthly Data'!I10</f>
        <v>0.0356768100734523</v>
      </c>
      <c r="G52" s="28" t="n">
        <f aca="false">'Monthly Data'!J10</f>
        <v>33.5294117647059</v>
      </c>
    </row>
    <row r="53" customFormat="false" ht="15" hidden="false" customHeight="false" outlineLevel="0" collapsed="false">
      <c r="B53" s="24" t="str">
        <f aca="false">'Monthly Data'!A11</f>
        <v>Oct 2025</v>
      </c>
      <c r="C53" s="25" t="n">
        <f aca="false">'Monthly Data'!B11</f>
        <v>57200</v>
      </c>
      <c r="D53" s="26" t="n">
        <f aca="false">IF('Monthly Data'!H11="","",'Monthly Data'!H11)</f>
        <v>0.0671641791044776</v>
      </c>
      <c r="E53" s="27" t="n">
        <f aca="false">'Monthly Data'!E11</f>
        <v>5200</v>
      </c>
      <c r="F53" s="26" t="n">
        <f aca="false">'Monthly Data'!I11</f>
        <v>0.0293819655521783</v>
      </c>
      <c r="G53" s="28" t="n">
        <f aca="false">'Monthly Data'!J11</f>
        <v>31.9512195121951</v>
      </c>
    </row>
    <row r="54" customFormat="false" ht="15" hidden="false" customHeight="false" outlineLevel="0" collapsed="false">
      <c r="B54" s="24" t="str">
        <f aca="false">'Monthly Data'!A12</f>
        <v>Nov 2025</v>
      </c>
      <c r="C54" s="25" t="n">
        <f aca="false">'Monthly Data'!B12</f>
        <v>59800</v>
      </c>
      <c r="D54" s="26" t="n">
        <f aca="false">IF('Monthly Data'!H12="","",'Monthly Data'!H12)</f>
        <v>0.0454545454545455</v>
      </c>
      <c r="E54" s="27" t="n">
        <f aca="false">'Monthly Data'!E12</f>
        <v>5492</v>
      </c>
      <c r="F54" s="26" t="n">
        <f aca="false">'Monthly Data'!I12</f>
        <v>0.0265384615384615</v>
      </c>
      <c r="G54" s="28" t="n">
        <f aca="false">'Monthly Data'!J12</f>
        <v>32.093023255814</v>
      </c>
    </row>
    <row r="55" customFormat="false" ht="15" hidden="false" customHeight="false" outlineLevel="0" collapsed="false">
      <c r="B55" s="24" t="str">
        <f aca="false">'Monthly Data'!A13</f>
        <v>Dec 2025</v>
      </c>
      <c r="C55" s="25" t="n">
        <f aca="false">'Monthly Data'!B13</f>
        <v>63500</v>
      </c>
      <c r="D55" s="26" t="n">
        <f aca="false">IF('Monthly Data'!H13="","",'Monthly Data'!H13)</f>
        <v>0.0618729096989967</v>
      </c>
      <c r="E55" s="27" t="n">
        <f aca="false">'Monthly Data'!E13</f>
        <v>5797</v>
      </c>
      <c r="F55" s="26" t="n">
        <f aca="false">'Monthly Data'!I13</f>
        <v>0.0273124544792425</v>
      </c>
      <c r="G55" s="28" t="n">
        <f aca="false">'Monthly Data'!J13</f>
        <v>32.0879120879121</v>
      </c>
    </row>
  </sheetData>
  <mergeCells count="18">
    <mergeCell ref="B2:M2"/>
    <mergeCell ref="B3:M3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42:M42"/>
  </mergeCells>
  <conditionalFormatting sqref="B7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D7">
    <cfRule type="cellIs" priority="4" operator="greaterThanOrEqual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F7">
    <cfRule type="cellIs" priority="6" operator="lessThanOrEqual" aboveAverage="0" equalAverage="0" bottom="0" percent="0" rank="0" text="" dxfId="0">
      <formula>0</formula>
    </cfRule>
    <cfRule type="cellIs" priority="7" operator="greaterThan" aboveAverage="0" equalAverage="0" bottom="0" percent="0" rank="0" text="" dxfId="1">
      <formula>0</formula>
    </cfRule>
  </conditionalFormatting>
  <conditionalFormatting sqref="H7">
    <cfRule type="cellIs" priority="8" operator="lessThanOrEqual" aboveAverage="0" equalAverage="0" bottom="0" percent="0" rank="0" text="" dxfId="0">
      <formula>0</formula>
    </cfRule>
    <cfRule type="cellIs" priority="9" operator="greaterThan" aboveAverage="0" equalAverage="0" bottom="0" percent="0" rank="0" text="" dxfId="1">
      <formula>0</formula>
    </cfRule>
  </conditionalFormatting>
  <conditionalFormatting sqref="J7">
    <cfRule type="cellIs" priority="10" operator="greaterThanOrEqual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D44:D55">
    <cfRule type="colorScale" priority="12">
      <colorScale>
        <cfvo type="min" val="0"/>
        <cfvo type="percentile" val="50"/>
        <cfvo type="max" val="0"/>
        <color rgb="FFF8CBCB"/>
        <color rgb="FFFFFFFF"/>
        <color rgb="FFC6E7D4"/>
      </colorScale>
    </cfRule>
  </conditionalFormatting>
  <conditionalFormatting sqref="F44:F55">
    <cfRule type="colorScale" priority="13">
      <colorScale>
        <cfvo type="min" val="0"/>
        <cfvo type="percentile" val="50"/>
        <cfvo type="max" val="0"/>
        <color rgb="FFC6E7D4"/>
        <color rgb="FFFFFFFF"/>
        <color rgb="FFF8CBC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2026-07-09T12:31:41Z</dcterms:created>
  <dc:creator>openpyxl</dc:creator>
  <dc:description/>
  <dc:language>en-US</dc:language>
  <cp:lastModifiedBy/>
  <dcterms:modified xsi:type="dcterms:W3CDTF">2026-07-09T18:16:42Z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