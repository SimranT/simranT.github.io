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5.xml" ContentType="application/vnd.openxmlformats-officedocument.drawingml.chart+xml"/>
  <Override PartName="/xl/charts/style4.xml" ContentType="application/vnd.ms-office.chartstyle+xml"/>
  <Override PartName="/xl/charts/colors3.xml" ContentType="application/vnd.ms-office.chartcolorstyle+xml"/>
  <Override PartName="/xl/charts/chart4.xml" ContentType="application/vnd.openxmlformats-officedocument.drawingml.chart+xml"/>
  <Override PartName="/xl/charts/colors6.xml" ContentType="application/vnd.ms-office.chartcolorstyle+xml"/>
  <Override PartName="/xl/charts/style6.xml" ContentType="application/vnd.ms-office.chartstyle+xml"/>
  <Override PartName="/xl/charts/style1.xml" ContentType="application/vnd.ms-office.chartstyle+xml"/>
  <Override PartName="/xl/charts/chart1.xml" ContentType="application/vnd.openxmlformats-officedocument.drawingml.chart+xml"/>
  <Override PartName="/xl/charts/colors5.xml" ContentType="application/vnd.ms-office.chartcolorstyle+xml"/>
  <Override PartName="/xl/charts/style5.xml" ContentType="application/vnd.ms-office.chartstyle+xml"/>
  <Override PartName="/xl/charts/colors4.xml" ContentType="application/vnd.ms-office.chartcolorstyle+xml"/>
  <Override PartName="/xl/charts/chart3.xml" ContentType="application/vnd.openxmlformats-officedocument.drawingml.chart+xml"/>
  <Override PartName="/xl/charts/chart2.xml" ContentType="application/vnd.openxmlformats-officedocument.drawingml.chart+xml"/>
  <Override PartName="/xl/charts/colors2.xml" ContentType="application/vnd.ms-office.chartcolorstyle+xml"/>
  <Override PartName="/xl/charts/style3.xml" ContentType="application/vnd.ms-office.chartstyle+xml"/>
  <Override PartName="/xl/charts/colors1.xml" ContentType="application/vnd.ms-office.chartcolorstyle+xml"/>
  <Override PartName="/xl/charts/chart6.xml" ContentType="application/vnd.openxmlformats-officedocument.drawingml.chart+xml"/>
  <Override PartName="/xl/charts/style2.xml" ContentType="application/vnd.ms-office.chartsty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Read Me" sheetId="2" state="visible" r:id="rId4"/>
    <sheet name="Sample Data" sheetId="3" state="visible" r:id="rId5"/>
    <sheet name="Dashboard (Light)" sheetId="4" state="visible" r:id="rId6"/>
    <sheet name="Dashboard (Dark)"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<sst xmlns="http://schemas.openxmlformats.org/spreadsheetml/2006/main" count="385" uniqueCount="50">
  <si>
    <t xml:space="preserve">SIMRAN'S SPACE  ·  TEMPLATES</t>
  </si>
  <si>
    <t xml:space="preserve">BI Dashboard Starter Pack</t>
  </si>
  <si>
    <t xml:space="preserve">A modern executive dashboard template — KPI cards, charts, filters, and a light + dark theme, ready to customize with your own data.</t>
  </si>
  <si>
    <t xml:space="preserve">WHAT'S INSIDE</t>
  </si>
  <si>
    <t xml:space="preserve">◆</t>
  </si>
  <si>
    <t xml:space="preserve">A sample dataset — 144 rows, 12 months x 4 regions x 3 product lines</t>
  </si>
  <si>
    <t xml:space="preserve">Dashboard (Light) — KPI cards, filters, 3 charts, a Top 5 insight table</t>
  </si>
  <si>
    <t xml:space="preserve">Dashboard (Dark) — the exact same dashboard, restyled for a dark theme</t>
  </si>
  <si>
    <t xml:space="preserve">Two live filters (Region + Product) that drive every card and chart at once</t>
  </si>
  <si>
    <t xml:space="preserve">Beginner-friendly Read Me with a 5-minute setup walkthrough</t>
  </si>
  <si>
    <t xml:space="preserve">MORE DASHBOARD PAGE IDEAS</t>
  </si>
  <si>
    <t xml:space="preserve">Once you're comfortable with the layout, duplicate the Dashboard tab to build: a Sales Deep-Dive (rep-level detail + pipeline stages), a Marketing Funnel view (spend -&gt; leads -&gt; conversions), or an Ops/Fulfillment view (lead time + on-time %). The Read Me tab walks through adapting the filters and charts for each.</t>
  </si>
  <si>
    <t xml:space="preserve">Built by Simran Tiwari  —  simrant.github.io</t>
  </si>
  <si>
    <t xml:space="preserve">How to use this template</t>
  </si>
  <si>
    <t xml:space="preserve">1. Replace the sample data</t>
  </si>
  <si>
    <t xml:space="preserve">Open the Sample Data tab and replace the rows with your own — keep the same column headers (Date, Region, Product, Revenue, Units Sold, New Customers, Marketing Spend, Satisfaction %) and everything downstream updates automatically.</t>
  </si>
  <si>
    <t xml:space="preserve">2. Use the filters</t>
  </si>
  <si>
    <t xml:space="preserve">On either Dashboard tab, the two dropdowns near the top (Region, Product) control every KPI card and chart on that page at once. Pick "All" on either one to remove that filter.</t>
  </si>
  <si>
    <t xml:space="preserve">3. Pick a theme</t>
  </si>
  <si>
    <t xml:space="preserve">Dashboard (Light) and Dashboard (Dark) are the identical dashboard, restyled. Delete whichever one you don't need, or keep both and let viewers pick.'</t>
  </si>
  <si>
    <t xml:space="preserve">4. Customize the KPI cards</t>
  </si>
  <si>
    <t xml:space="preserve">Each KPI card is a formula referencing Sample Data and the two filter cells — open one to see exactly how it's built, then copy the pattern for a metric of your own.</t>
  </si>
  <si>
    <t xml:space="preserve">5. Open in Google Sheets</t>
  </si>
  <si>
    <t xml:space="preserve">File -&gt; Import -&gt; Upload. Every formula here uses standard SUMPRODUCT/INDEX/MATCH logic, not Excel-only array formulas, so it imports cleanly with nothing to fix.</t>
  </si>
  <si>
    <t xml:space="preserve">Why this one's different</t>
  </si>
  <si>
    <t xml:space="preserve">Most free dashboard templates give you charts wired to static numbers, and a dark-mode version means starting over from scratch. This one ships both themes built on the same formulas, and every chart is filter-aware from the start — change the dropdown once, everything on the page updates together.</t>
  </si>
  <si>
    <t xml:space="preserve">Date</t>
  </si>
  <si>
    <t xml:space="preserve">Region</t>
  </si>
  <si>
    <t xml:space="preserve">Product</t>
  </si>
  <si>
    <t xml:space="preserve">Revenue</t>
  </si>
  <si>
    <t xml:space="preserve">Units Sold</t>
  </si>
  <si>
    <t xml:space="preserve">New Customers</t>
  </si>
  <si>
    <t xml:space="preserve">Marketing Spend</t>
  </si>
  <si>
    <t xml:space="preserve">Satisfaction %</t>
  </si>
  <si>
    <t xml:space="preserve">Rank</t>
  </si>
  <si>
    <t xml:space="preserve">North America</t>
  </si>
  <si>
    <t xml:space="preserve">Software</t>
  </si>
  <si>
    <t xml:space="preserve">Hardware</t>
  </si>
  <si>
    <t xml:space="preserve">Services</t>
  </si>
  <si>
    <t xml:space="preserve">Europe</t>
  </si>
  <si>
    <t xml:space="preserve">APAC</t>
  </si>
  <si>
    <t xml:space="preserve">LATAM</t>
  </si>
  <si>
    <t xml:space="preserve">Month</t>
  </si>
  <si>
    <t xml:space="preserve">Executive Dashboard</t>
  </si>
  <si>
    <t xml:space="preserve">Revenue, growth, and customer health — live from the Sample Data tab</t>
  </si>
  <si>
    <t xml:space="preserve">All</t>
  </si>
  <si>
    <t xml:space="preserve">Total Revenue</t>
  </si>
  <si>
    <t xml:space="preserve">Avg Satisfaction</t>
  </si>
  <si>
    <t xml:space="preserve">Marketing ROI</t>
  </si>
  <si>
    <t xml:space="preserve">Top 5 rows by revenue</t>
  </si>
</sst>
</file>

<file path=xl/styles.xml><?xml version="1.0" encoding="utf-8"?>
<styleSheet xmlns="http://schemas.openxmlformats.org/spreadsheetml/2006/main">
  <numFmts count="8">
    <numFmt numFmtId="164" formatCode="General"/>
    <numFmt numFmtId="165" formatCode="mmm\ yyyy"/>
    <numFmt numFmtId="166" formatCode="\$#,##0"/>
    <numFmt numFmtId="167" formatCode="0.0"/>
    <numFmt numFmtId="168" formatCode="mmm"/>
    <numFmt numFmtId="169" formatCode="#,##0"/>
    <numFmt numFmtId="170" formatCode="0.0\%"/>
    <numFmt numFmtId="171" formatCode="0.0\x"/>
  </numFmts>
  <fonts count="42">
    <font>
      <sz val="11"/>
      <color theme="1"/>
      <name val="Calibri"/>
      <family val="2"/>
      <charset val="1"/>
    </font>
    <font>
      <sz val="10"/>
      <name val="Arial"/>
      <family val="0"/>
    </font>
    <font>
      <sz val="10"/>
      <name val="Arial"/>
      <family val="0"/>
    </font>
    <font>
      <sz val="10"/>
      <name val="Arial"/>
      <family val="0"/>
    </font>
    <font>
      <b val="true"/>
      <sz val="11"/>
      <color rgb="FFB8934A"/>
      <name val="Calibri"/>
      <family val="0"/>
      <charset val="1"/>
    </font>
    <font>
      <b val="true"/>
      <sz val="30"/>
      <color rgb="FF1A1A1A"/>
      <name val="Calibri"/>
      <family val="0"/>
      <charset val="1"/>
    </font>
    <font>
      <sz val="12"/>
      <color rgb="FF4A4A4A"/>
      <name val="Calibri"/>
      <family val="0"/>
      <charset val="1"/>
    </font>
    <font>
      <sz val="10"/>
      <color rgb="FF3FA87C"/>
      <name val="Calibri"/>
      <family val="0"/>
      <charset val="1"/>
    </font>
    <font>
      <sz val="11"/>
      <color rgb="FF2A2A2A"/>
      <name val="Calibri"/>
      <family val="0"/>
      <charset val="1"/>
    </font>
    <font>
      <sz val="10.5"/>
      <color rgb="FF4A4A4A"/>
      <name val="Calibri"/>
      <family val="0"/>
      <charset val="1"/>
    </font>
    <font>
      <i val="true"/>
      <sz val="10"/>
      <color rgb="FF8A8A8A"/>
      <name val="Calibri"/>
      <family val="0"/>
      <charset val="1"/>
    </font>
    <font>
      <b val="true"/>
      <sz val="20"/>
      <color rgb="FF1A1A1A"/>
      <name val="Calibri"/>
      <family val="0"/>
      <charset val="1"/>
    </font>
    <font>
      <b val="true"/>
      <sz val="13"/>
      <color rgb="FFB8934A"/>
      <name val="Calibri"/>
      <family val="0"/>
      <charset val="1"/>
    </font>
    <font>
      <sz val="11"/>
      <color rgb="FF333333"/>
      <name val="Calibri"/>
      <family val="0"/>
      <charset val="1"/>
    </font>
    <font>
      <b val="true"/>
      <sz val="11"/>
      <color rgb="FFFFFFFF"/>
      <name val="Calibri"/>
      <family val="0"/>
      <charset val="1"/>
    </font>
    <font>
      <sz val="9"/>
      <color rgb="FFAAAAAA"/>
      <name val="Calibri"/>
      <family val="0"/>
      <charset val="1"/>
    </font>
    <font>
      <sz val="10"/>
      <name val="Calibri"/>
      <family val="0"/>
      <charset val="1"/>
    </font>
    <font>
      <sz val="8"/>
      <color rgb="FF6B6B6B"/>
      <name val="Calibri"/>
      <family val="0"/>
      <charset val="1"/>
    </font>
    <font>
      <b val="true"/>
      <sz val="22"/>
      <color rgb="FF1A1A1A"/>
      <name val="Calibri"/>
      <family val="0"/>
      <charset val="1"/>
    </font>
    <font>
      <sz val="10.5"/>
      <color rgb="FF6B6B6B"/>
      <name val="Calibri"/>
      <family val="0"/>
      <charset val="1"/>
    </font>
    <font>
      <b val="true"/>
      <sz val="9"/>
      <color rgb="FF6B6B6B"/>
      <name val="Calibri"/>
      <family val="0"/>
      <charset val="1"/>
    </font>
    <font>
      <b val="true"/>
      <sz val="16"/>
      <color rgb="FFB8934A"/>
      <name val="Calibri"/>
      <family val="0"/>
      <charset val="1"/>
    </font>
    <font>
      <b val="true"/>
      <sz val="16"/>
      <color rgb="FF3FA87C"/>
      <name val="Calibri"/>
      <family val="0"/>
      <charset val="1"/>
    </font>
    <font>
      <b val="true"/>
      <sz val="16"/>
      <color rgb="FF8F6FCB"/>
      <name val="Calibri"/>
      <family val="0"/>
      <charset val="1"/>
    </font>
    <font>
      <b val="true"/>
      <sz val="13"/>
      <color rgb="FF1A1A1A"/>
      <name val="Calibri"/>
      <family val="0"/>
      <charset val="1"/>
    </font>
    <font>
      <b val="true"/>
      <sz val="10"/>
      <color rgb="FFFFFFFF"/>
      <name val="Calibri"/>
      <family val="0"/>
      <charset val="1"/>
    </font>
    <font>
      <sz val="10"/>
      <color rgb="FF1A1A1A"/>
      <name val="Calibri"/>
      <family val="0"/>
      <charset val="1"/>
    </font>
    <font>
      <b val="true"/>
      <sz val="18"/>
      <color rgb="FF000000"/>
      <name val="Calibri"/>
      <family val="2"/>
    </font>
    <font>
      <sz val="10"/>
      <color rgb="FF000000"/>
      <name val="Calibri"/>
      <family val="2"/>
    </font>
    <font>
      <sz val="8"/>
      <color rgb="FF9AA0AE"/>
      <name val="Calibri"/>
      <family val="0"/>
      <charset val="1"/>
    </font>
    <font>
      <b val="true"/>
      <sz val="22"/>
      <color rgb="FFF4F1E9"/>
      <name val="Calibri"/>
      <family val="0"/>
      <charset val="1"/>
    </font>
    <font>
      <sz val="10.5"/>
      <color rgb="FF9AA0AE"/>
      <name val="Calibri"/>
      <family val="0"/>
      <charset val="1"/>
    </font>
    <font>
      <b val="true"/>
      <sz val="9"/>
      <color rgb="FF9AA0AE"/>
      <name val="Calibri"/>
      <family val="0"/>
      <charset val="1"/>
    </font>
    <font>
      <b val="true"/>
      <sz val="11"/>
      <color rgb="FFE8C46F"/>
      <name val="Calibri"/>
      <family val="0"/>
      <charset val="1"/>
    </font>
    <font>
      <b val="true"/>
      <sz val="16"/>
      <color rgb="FFE8C46F"/>
      <name val="Calibri"/>
      <family val="0"/>
      <charset val="1"/>
    </font>
    <font>
      <b val="true"/>
      <sz val="16"/>
      <color rgb="FF8EFFC9"/>
      <name val="Calibri"/>
      <family val="0"/>
      <charset val="1"/>
    </font>
    <font>
      <b val="true"/>
      <sz val="16"/>
      <color rgb="FFC49BFF"/>
      <name val="Calibri"/>
      <family val="0"/>
      <charset val="1"/>
    </font>
    <font>
      <b val="true"/>
      <sz val="13"/>
      <color rgb="FFF4F1E9"/>
      <name val="Calibri"/>
      <family val="0"/>
      <charset val="1"/>
    </font>
    <font>
      <b val="true"/>
      <sz val="10"/>
      <color rgb="FF14171F"/>
      <name val="Calibri"/>
      <family val="0"/>
      <charset val="1"/>
    </font>
    <font>
      <sz val="10"/>
      <color rgb="FFF4F1E9"/>
      <name val="Calibri"/>
      <family val="0"/>
      <charset val="1"/>
    </font>
    <font>
      <b val="true"/>
      <sz val="14"/>
      <color rgb="FFF4F1E9"/>
      <name val="Calibri"/>
      <family val="2"/>
    </font>
    <font>
      <sz val="9"/>
      <color rgb="FFF4F1E9"/>
      <name val="Calibri"/>
      <family val="2"/>
    </font>
  </fonts>
  <fills count="9">
    <fill>
      <patternFill patternType="none"/>
    </fill>
    <fill>
      <patternFill patternType="gray125"/>
    </fill>
    <fill>
      <patternFill patternType="solid">
        <fgColor rgb="FFB8934A"/>
        <bgColor rgb="FF8A8A8A"/>
      </patternFill>
    </fill>
    <fill>
      <patternFill patternType="solid">
        <fgColor rgb="FFFFFFFF"/>
        <bgColor rgb="FFF9F9F9"/>
      </patternFill>
    </fill>
    <fill>
      <patternFill patternType="solid">
        <fgColor rgb="FFF7F5EF"/>
        <bgColor rgb="FFF4F1E9"/>
      </patternFill>
    </fill>
    <fill>
      <patternFill patternType="solid">
        <fgColor rgb="FF14171F"/>
        <bgColor rgb="FF1A1A1A"/>
      </patternFill>
    </fill>
    <fill>
      <patternFill patternType="solid">
        <fgColor rgb="FF1C2029"/>
        <bgColor rgb="FF20242E"/>
      </patternFill>
    </fill>
    <fill>
      <patternFill patternType="solid">
        <fgColor rgb="FF20242E"/>
        <bgColor rgb="FF1C2029"/>
      </patternFill>
    </fill>
    <fill>
      <patternFill patternType="solid">
        <fgColor rgb="FFE8C46F"/>
        <bgColor rgb="FFFFCC00"/>
      </patternFill>
    </fill>
  </fills>
  <borders count="3">
    <border diagonalUp="false" diagonalDown="false">
      <left/>
      <right/>
      <top/>
      <bottom/>
      <diagonal/>
    </border>
    <border diagonalUp="false" diagonalDown="false">
      <left style="thin">
        <color rgb="FFE3E0D5"/>
      </left>
      <right style="thin">
        <color rgb="FFE3E0D5"/>
      </right>
      <top style="thin">
        <color rgb="FFE3E0D5"/>
      </top>
      <bottom style="thin">
        <color rgb="FFE3E0D5"/>
      </bottom>
      <diagonal/>
    </border>
    <border diagonalUp="false" diagonalDown="false">
      <left style="thin">
        <color rgb="FF2E3340"/>
      </left>
      <right style="thin">
        <color rgb="FF2E3340"/>
      </right>
      <top style="thin">
        <color rgb="FF2E3340"/>
      </top>
      <bottom style="thin">
        <color rgb="FF2E334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top" textRotation="0" wrapText="true" indent="0" shrinkToFit="false"/>
      <protection locked="true" hidden="false"/>
    </xf>
    <xf numFmtId="164" fontId="14" fillId="2"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5" fontId="16"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6" fontId="16" fillId="0" borderId="0" xfId="0" applyFont="true" applyBorder="false" applyAlignment="false" applyProtection="false">
      <alignment horizontal="general" vertical="bottom" textRotation="0" wrapText="false" indent="0" shrinkToFit="false"/>
      <protection locked="true" hidden="false"/>
    </xf>
    <xf numFmtId="167" fontId="16" fillId="0"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17" fillId="3"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18" fillId="3" borderId="0" xfId="0" applyFont="true" applyBorder="false" applyAlignment="false" applyProtection="false">
      <alignment horizontal="general" vertical="bottom" textRotation="0" wrapText="false" indent="0" shrinkToFit="false"/>
      <protection locked="true" hidden="false"/>
    </xf>
    <xf numFmtId="168" fontId="17" fillId="3" borderId="0" xfId="0" applyFont="true" applyBorder="false" applyAlignment="false" applyProtection="false">
      <alignment horizontal="general" vertical="bottom" textRotation="0" wrapText="false" indent="0" shrinkToFit="false"/>
      <protection locked="true" hidden="false"/>
    </xf>
    <xf numFmtId="166" fontId="17" fillId="3" borderId="0" xfId="0" applyFont="true" applyBorder="false" applyAlignment="false" applyProtection="false">
      <alignment horizontal="general" vertical="bottom" textRotation="0" wrapText="false" indent="0" shrinkToFit="false"/>
      <protection locked="true" hidden="false"/>
    </xf>
    <xf numFmtId="166" fontId="17" fillId="0" borderId="0" xfId="0" applyFont="true" applyBorder="false" applyAlignment="false" applyProtection="false">
      <alignment horizontal="general" vertical="bottom" textRotation="0" wrapText="false" indent="0" shrinkToFit="false"/>
      <protection locked="true" hidden="false"/>
    </xf>
    <xf numFmtId="164" fontId="19" fillId="3" borderId="0" xfId="0" applyFont="true" applyBorder="false" applyAlignment="false" applyProtection="false">
      <alignment horizontal="general" vertical="bottom" textRotation="0" wrapText="false" indent="0" shrinkToFit="false"/>
      <protection locked="true" hidden="false"/>
    </xf>
    <xf numFmtId="164" fontId="20" fillId="3" borderId="0" xfId="0" applyFont="true" applyBorder="false" applyAlignment="false" applyProtection="false">
      <alignment horizontal="general" vertical="bottom" textRotation="0" wrapText="false" indent="0" shrinkToFit="false"/>
      <protection locked="true" hidden="false"/>
    </xf>
    <xf numFmtId="164" fontId="4" fillId="4" borderId="1" xfId="0" applyFont="true" applyBorder="true" applyAlignment="true" applyProtection="false">
      <alignment horizontal="center" vertical="bottom" textRotation="0" wrapText="false" indent="0" shrinkToFit="false"/>
      <protection locked="true" hidden="false"/>
    </xf>
    <xf numFmtId="164" fontId="20" fillId="3" borderId="1" xfId="0" applyFont="true" applyBorder="true" applyAlignment="false" applyProtection="false">
      <alignment horizontal="general" vertical="bottom" textRotation="0" wrapText="false" indent="0" shrinkToFit="false"/>
      <protection locked="true" hidden="false"/>
    </xf>
    <xf numFmtId="166" fontId="21" fillId="3" borderId="1" xfId="0" applyFont="true" applyBorder="true" applyAlignment="false" applyProtection="false">
      <alignment horizontal="general" vertical="bottom" textRotation="0" wrapText="false" indent="0" shrinkToFit="false"/>
      <protection locked="true" hidden="false"/>
    </xf>
    <xf numFmtId="169" fontId="22" fillId="3" borderId="1" xfId="0" applyFont="true" applyBorder="true" applyAlignment="false" applyProtection="false">
      <alignment horizontal="general" vertical="bottom" textRotation="0" wrapText="false" indent="0" shrinkToFit="false"/>
      <protection locked="true" hidden="false"/>
    </xf>
    <xf numFmtId="169" fontId="23" fillId="3" borderId="1" xfId="0" applyFont="true" applyBorder="true" applyAlignment="false" applyProtection="false">
      <alignment horizontal="general" vertical="bottom" textRotation="0" wrapText="false" indent="0" shrinkToFit="false"/>
      <protection locked="true" hidden="false"/>
    </xf>
    <xf numFmtId="170" fontId="22" fillId="3" borderId="1" xfId="0" applyFont="true" applyBorder="true" applyAlignment="false" applyProtection="false">
      <alignment horizontal="general" vertical="bottom" textRotation="0" wrapText="false" indent="0" shrinkToFit="false"/>
      <protection locked="true" hidden="false"/>
    </xf>
    <xf numFmtId="171" fontId="21" fillId="3" borderId="1" xfId="0" applyFont="true" applyBorder="true" applyAlignment="false" applyProtection="false">
      <alignment horizontal="general" vertical="bottom" textRotation="0" wrapText="false" indent="0" shrinkToFit="false"/>
      <protection locked="true" hidden="false"/>
    </xf>
    <xf numFmtId="164" fontId="24" fillId="3" borderId="0" xfId="0" applyFont="true" applyBorder="false" applyAlignment="false" applyProtection="false">
      <alignment horizontal="general" vertical="bottom" textRotation="0" wrapText="false" indent="0" shrinkToFit="false"/>
      <protection locked="true" hidden="false"/>
    </xf>
    <xf numFmtId="164" fontId="25" fillId="2" borderId="0" xfId="0" applyFont="true" applyBorder="false" applyAlignment="false" applyProtection="false">
      <alignment horizontal="general" vertical="bottom" textRotation="0" wrapText="false" indent="0" shrinkToFit="false"/>
      <protection locked="true" hidden="false"/>
    </xf>
    <xf numFmtId="165" fontId="26" fillId="3" borderId="0" xfId="0" applyFont="true" applyBorder="false" applyAlignment="false" applyProtection="false">
      <alignment horizontal="general" vertical="bottom" textRotation="0" wrapText="false" indent="0" shrinkToFit="false"/>
      <protection locked="true" hidden="false"/>
    </xf>
    <xf numFmtId="164" fontId="26" fillId="3" borderId="0" xfId="0" applyFont="true" applyBorder="false" applyAlignment="false" applyProtection="false">
      <alignment horizontal="general" vertical="bottom" textRotation="0" wrapText="false" indent="0" shrinkToFit="false"/>
      <protection locked="true" hidden="false"/>
    </xf>
    <xf numFmtId="166" fontId="26" fillId="3" borderId="0" xfId="0" applyFont="true" applyBorder="false" applyAlignment="false" applyProtection="false">
      <alignment horizontal="general" vertical="bottom"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4" fontId="29" fillId="5" borderId="0" xfId="0" applyFont="true" applyBorder="false" applyAlignment="false" applyProtection="false">
      <alignment horizontal="general" vertical="bottom" textRotation="0" wrapText="false" indent="0" shrinkToFit="false"/>
      <protection locked="true" hidden="false"/>
    </xf>
    <xf numFmtId="164" fontId="29" fillId="0" borderId="0" xfId="0" applyFont="true" applyBorder="false" applyAlignment="false" applyProtection="false">
      <alignment horizontal="general" vertical="bottom" textRotation="0" wrapText="false" indent="0" shrinkToFit="false"/>
      <protection locked="true" hidden="false"/>
    </xf>
    <xf numFmtId="164" fontId="30" fillId="5" borderId="0" xfId="0" applyFont="true" applyBorder="false" applyAlignment="false" applyProtection="false">
      <alignment horizontal="general" vertical="bottom" textRotation="0" wrapText="false" indent="0" shrinkToFit="false"/>
      <protection locked="true" hidden="false"/>
    </xf>
    <xf numFmtId="168" fontId="29" fillId="5" borderId="0" xfId="0" applyFont="true" applyBorder="false" applyAlignment="false" applyProtection="false">
      <alignment horizontal="general" vertical="bottom" textRotation="0" wrapText="false" indent="0" shrinkToFit="false"/>
      <protection locked="true" hidden="false"/>
    </xf>
    <xf numFmtId="166" fontId="29" fillId="5" borderId="0" xfId="0" applyFont="true" applyBorder="false" applyAlignment="false" applyProtection="false">
      <alignment horizontal="general" vertical="bottom" textRotation="0" wrapText="false" indent="0" shrinkToFit="false"/>
      <protection locked="true" hidden="false"/>
    </xf>
    <xf numFmtId="166" fontId="29" fillId="0" borderId="0" xfId="0" applyFont="true" applyBorder="false" applyAlignment="false" applyProtection="false">
      <alignment horizontal="general" vertical="bottom" textRotation="0" wrapText="false" indent="0" shrinkToFit="false"/>
      <protection locked="true" hidden="false"/>
    </xf>
    <xf numFmtId="164" fontId="31" fillId="5" borderId="0" xfId="0" applyFont="true" applyBorder="false" applyAlignment="false" applyProtection="false">
      <alignment horizontal="general" vertical="bottom" textRotation="0" wrapText="false" indent="0" shrinkToFit="false"/>
      <protection locked="true" hidden="false"/>
    </xf>
    <xf numFmtId="164" fontId="32" fillId="5" borderId="0" xfId="0" applyFont="true" applyBorder="false" applyAlignment="false" applyProtection="false">
      <alignment horizontal="general" vertical="bottom" textRotation="0" wrapText="false" indent="0" shrinkToFit="false"/>
      <protection locked="true" hidden="false"/>
    </xf>
    <xf numFmtId="164" fontId="33" fillId="6" borderId="2" xfId="0" applyFont="true" applyBorder="true" applyAlignment="true" applyProtection="false">
      <alignment horizontal="center" vertical="bottom" textRotation="0" wrapText="false" indent="0" shrinkToFit="false"/>
      <protection locked="true" hidden="false"/>
    </xf>
    <xf numFmtId="164" fontId="32" fillId="7" borderId="2" xfId="0" applyFont="true" applyBorder="true" applyAlignment="false" applyProtection="false">
      <alignment horizontal="general" vertical="bottom" textRotation="0" wrapText="false" indent="0" shrinkToFit="false"/>
      <protection locked="true" hidden="false"/>
    </xf>
    <xf numFmtId="166" fontId="34" fillId="7" borderId="2" xfId="0" applyFont="true" applyBorder="true" applyAlignment="false" applyProtection="false">
      <alignment horizontal="general" vertical="bottom" textRotation="0" wrapText="false" indent="0" shrinkToFit="false"/>
      <protection locked="true" hidden="false"/>
    </xf>
    <xf numFmtId="169" fontId="35" fillId="7" borderId="2" xfId="0" applyFont="true" applyBorder="true" applyAlignment="false" applyProtection="false">
      <alignment horizontal="general" vertical="bottom" textRotation="0" wrapText="false" indent="0" shrinkToFit="false"/>
      <protection locked="true" hidden="false"/>
    </xf>
    <xf numFmtId="169" fontId="36" fillId="7" borderId="2" xfId="0" applyFont="true" applyBorder="true" applyAlignment="false" applyProtection="false">
      <alignment horizontal="general" vertical="bottom" textRotation="0" wrapText="false" indent="0" shrinkToFit="false"/>
      <protection locked="true" hidden="false"/>
    </xf>
    <xf numFmtId="170" fontId="35" fillId="7" borderId="2" xfId="0" applyFont="true" applyBorder="true" applyAlignment="false" applyProtection="false">
      <alignment horizontal="general" vertical="bottom" textRotation="0" wrapText="false" indent="0" shrinkToFit="false"/>
      <protection locked="true" hidden="false"/>
    </xf>
    <xf numFmtId="171" fontId="34" fillId="7" borderId="2" xfId="0" applyFont="true" applyBorder="true" applyAlignment="false" applyProtection="false">
      <alignment horizontal="general" vertical="bottom" textRotation="0" wrapText="false" indent="0" shrinkToFit="false"/>
      <protection locked="true" hidden="false"/>
    </xf>
    <xf numFmtId="164" fontId="37" fillId="5" borderId="0" xfId="0" applyFont="true" applyBorder="false" applyAlignment="false" applyProtection="false">
      <alignment horizontal="general" vertical="bottom" textRotation="0" wrapText="false" indent="0" shrinkToFit="false"/>
      <protection locked="true" hidden="false"/>
    </xf>
    <xf numFmtId="164" fontId="38" fillId="8" borderId="0" xfId="0" applyFont="true" applyBorder="false" applyAlignment="false" applyProtection="false">
      <alignment horizontal="general" vertical="bottom" textRotation="0" wrapText="false" indent="0" shrinkToFit="false"/>
      <protection locked="true" hidden="false"/>
    </xf>
    <xf numFmtId="165" fontId="39" fillId="7" borderId="0" xfId="0" applyFont="true" applyBorder="false" applyAlignment="false" applyProtection="false">
      <alignment horizontal="general" vertical="bottom" textRotation="0" wrapText="false" indent="0" shrinkToFit="false"/>
      <protection locked="true" hidden="false"/>
    </xf>
    <xf numFmtId="164" fontId="39" fillId="7" borderId="0" xfId="0" applyFont="true" applyBorder="false" applyAlignment="false" applyProtection="false">
      <alignment horizontal="general" vertical="bottom" textRotation="0" wrapText="false" indent="0" shrinkToFit="false"/>
      <protection locked="true" hidden="false"/>
    </xf>
    <xf numFmtId="166" fontId="39" fillId="7"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14171F"/>
      <rgbColor rgb="FFB8934A"/>
      <rgbColor rgb="FF800080"/>
      <rgbColor rgb="FF4F81BD"/>
      <rgbColor rgb="FFAAAAAA"/>
      <rgbColor rgb="FF878787"/>
      <rgbColor rgb="FF8F6FCB"/>
      <rgbColor rgb="FFC0504D"/>
      <rgbColor rgb="FFF7F5EF"/>
      <rgbColor rgb="FFF9F9F9"/>
      <rgbColor rgb="FF660066"/>
      <rgbColor rgb="FF8A8A8A"/>
      <rgbColor rgb="FF0066CC"/>
      <rgbColor rgb="FFD9D9D9"/>
      <rgbColor rgb="FF1A1A1A"/>
      <rgbColor rgb="FFFF00FF"/>
      <rgbColor rgb="FFFFFF00"/>
      <rgbColor rgb="FF00FFFF"/>
      <rgbColor rgb="FF800080"/>
      <rgbColor rgb="FF800000"/>
      <rgbColor rgb="FF008080"/>
      <rgbColor rgb="FF0000FF"/>
      <rgbColor rgb="FF00CCFF"/>
      <rgbColor rgb="FFF4F1E9"/>
      <rgbColor rgb="FFE3E0D5"/>
      <rgbColor rgb="FFFFFF99"/>
      <rgbColor rgb="FF8EFFC9"/>
      <rgbColor rgb="FFFF99CC"/>
      <rgbColor rgb="FFC49BFF"/>
      <rgbColor rgb="FFE8C46F"/>
      <rgbColor rgb="FF4A7EBB"/>
      <rgbColor rgb="FF33CCCC"/>
      <rgbColor rgb="FF9BBB59"/>
      <rgbColor rgb="FFFFCC00"/>
      <rgbColor rgb="FFFF9900"/>
      <rgbColor rgb="FFFF6600"/>
      <rgbColor rgb="FF6B6B6B"/>
      <rgbColor rgb="FF9AA0AE"/>
      <rgbColor rgb="FF20242E"/>
      <rgbColor rgb="FF3FA87C"/>
      <rgbColor rgb="FF1C2029"/>
      <rgbColor rgb="FF2A2A2A"/>
      <rgbColor rgb="FF993300"/>
      <rgbColor rgb="FF4A4A4A"/>
      <rgbColor rgb="FF2E3340"/>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_rels/chart2.xml.rels><?xml version="1.0" encoding="UTF-8"?>
<Relationships xmlns="http://schemas.openxmlformats.org/package/2006/relationships"><Relationship Id="rId1" Type="http://schemas.microsoft.com/office/2011/relationships/chartStyle" Target="style2.xml"/><Relationship Id="rId2" Type="http://schemas.microsoft.com/office/2011/relationships/chartColorStyle" Target="colors2.xml"/>
</Relationships>
</file>

<file path=xl/charts/_rels/chart3.xml.rels><?xml version="1.0" encoding="UTF-8"?>
<Relationships xmlns="http://schemas.openxmlformats.org/package/2006/relationships"><Relationship Id="rId1" Type="http://schemas.microsoft.com/office/2011/relationships/chartStyle" Target="style3.xml"/><Relationship Id="rId2" Type="http://schemas.microsoft.com/office/2011/relationships/chartColorStyle" Target="colors3.xml"/>
</Relationships>
</file>

<file path=xl/charts/_rels/chart4.xml.rels><?xml version="1.0" encoding="UTF-8"?>
<Relationships xmlns="http://schemas.openxmlformats.org/package/2006/relationships"><Relationship Id="rId1" Type="http://schemas.microsoft.com/office/2011/relationships/chartStyle" Target="style4.xml"/><Relationship Id="rId2" Type="http://schemas.microsoft.com/office/2011/relationships/chartColorStyle" Target="colors4.xml"/>
</Relationships>
</file>

<file path=xl/charts/_rels/chart5.xml.rels><?xml version="1.0" encoding="UTF-8"?>
<Relationships xmlns="http://schemas.openxmlformats.org/package/2006/relationships"><Relationship Id="rId1" Type="http://schemas.microsoft.com/office/2011/relationships/chartStyle" Target="style5.xml"/><Relationship Id="rId2" Type="http://schemas.microsoft.com/office/2011/relationships/chartColorStyle" Target="colors5.xml"/>
</Relationships>
</file>

<file path=xl/charts/_rels/chart6.xml.rels><?xml version="1.0" encoding="UTF-8"?>
<Relationships xmlns="http://schemas.openxmlformats.org/package/2006/relationships"><Relationship Id="rId1" Type="http://schemas.microsoft.com/office/2011/relationships/chartStyle" Target="style6.xml"/><Relationship Id="rId2" Type="http://schemas.microsoft.com/office/2011/relationships/chartColorStyle" Target="colors6.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Revenue trend</a:t>
            </a:r>
          </a:p>
        </c:rich>
      </c:tx>
      <c:overlay val="0"/>
      <c:spPr>
        <a:noFill/>
        <a:ln w="0">
          <a:noFill/>
        </a:ln>
      </c:spPr>
    </c:title>
    <c:autoTitleDeleted val="0"/>
    <c:plotArea>
      <c:lineChart>
        <c:grouping val="standard"/>
        <c:varyColors val="0"/>
        <c:ser>
          <c:idx val="0"/>
          <c:order val="0"/>
          <c:tx>
            <c:strRef>
              <c:f>'Dashboard (Light)'!L1</c:f>
              <c:strCache>
                <c:ptCount val="1"/>
                <c:pt idx="0">
                  <c:v>Revenue</c:v>
                </c:pt>
              </c:strCache>
            </c:strRef>
          </c:tx>
          <c:spPr>
            <a:solidFill>
              <a:srgbClr val="4A7EBB"/>
            </a:solidFill>
            <a:ln w="12600">
              <a:solidFill>
                <a:srgbClr val="4A7EBB"/>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'Dashboard (Light)'!$K$2:$K$13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 (Light)'!$L$2:$L$13</c:f>
              <c:numCache>
                <c:formatCode>\$#,##0</c:formatCode>
                <c:ptCount val="12"/>
                <c:pt idx="0">
                  <c:v>350700</c:v>
                </c:pt>
                <c:pt idx="1">
                  <c:v>356800</c:v>
                </c:pt>
                <c:pt idx="2">
                  <c:v>373800</c:v>
                </c:pt>
                <c:pt idx="3">
                  <c:v>369600</c:v>
                </c:pt>
                <c:pt idx="4">
                  <c:v>389100</c:v>
                </c:pt>
                <c:pt idx="5">
                  <c:v>388300</c:v>
                </c:pt>
                <c:pt idx="6">
                  <c:v>389900</c:v>
                </c:pt>
                <c:pt idx="7">
                  <c:v>393500</c:v>
                </c:pt>
                <c:pt idx="8">
                  <c:v>422700</c:v>
                </c:pt>
                <c:pt idx="9">
                  <c:v>418100</c:v>
                </c:pt>
                <c:pt idx="10">
                  <c:v>405500</c:v>
                </c:pt>
                <c:pt idx="11">
                  <c:v>439300</c:v>
                </c:pt>
              </c:numCache>
            </c:numRef>
          </c:val>
          <c:smooth val="1"/>
        </c:ser>
        <c:hiLowLines>
          <c:spPr>
            <a:ln w="0">
              <a:noFill/>
            </a:ln>
          </c:spPr>
        </c:hiLowLines>
        <c:marker val="0"/>
        <c:axId val="76583543"/>
        <c:axId val="99859268"/>
      </c:lineChart>
      <c:catAx>
        <c:axId val="76583543"/>
        <c:scaling>
          <c:orientation val="minMax"/>
        </c:scaling>
        <c:delete val="0"/>
        <c:axPos val="b"/>
        <c:numFmt formatCode="mmm"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9859268"/>
        <c:crosses val="autoZero"/>
        <c:auto val="1"/>
        <c:lblAlgn val="ctr"/>
        <c:lblOffset val="100"/>
        <c:noMultiLvlLbl val="0"/>
      </c:catAx>
      <c:valAx>
        <c:axId val="99859268"/>
        <c:scaling>
          <c:orientation val="minMax"/>
        </c:scaling>
        <c:delete val="0"/>
        <c:axPos val="l"/>
        <c:majorGridlines>
          <c:spPr>
            <a:ln w="9360">
              <a:solidFill>
                <a:srgbClr val="878787"/>
              </a:solidFill>
              <a:round/>
            </a:ln>
          </c:spPr>
        </c:majorGridlines>
        <c:numFmt formatCode="\$#,##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76583543"/>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style val="10"/>
  <c:chart>
    <c:title>
      <c:tx>
        <c:rich>
          <a:bodyPr rot="0"/>
          <a:lstStyle/>
          <a:p>
            <a:pPr>
              <a:defRPr sz="1300" b="0" u="none" strike="noStrike">
                <a:uFillTx/>
                <a:latin typeface="Arial"/>
              </a:defRPr>
            </a:pPr>
            <a:r>
              <a:rPr sz="1800" b="1" u="none" strike="noStrike">
                <a:solidFill>
                  <a:srgbClr val="000000"/>
                </a:solidFill>
                <a:uFillTx/>
                <a:latin typeface="Calibri"/>
              </a:rPr>
              <a:t>Revenue by region</a:t>
            </a:r>
          </a:p>
        </c:rich>
      </c:tx>
      <c:overlay val="0"/>
      <c:spPr>
        <a:noFill/>
        <a:ln w="0">
          <a:noFill/>
        </a:ln>
      </c:spPr>
    </c:title>
    <c:autoTitleDeleted val="0"/>
    <c:plotArea>
      <c:barChart>
        <c:barDir val="col"/>
        <c:grouping val="clustered"/>
        <c:varyColors val="0"/>
        <c:ser>
          <c:idx val="0"/>
          <c:order val="0"/>
          <c:tx>
            <c:strRef>
              <c:f>'Dashboard (Light)'!O1</c:f>
              <c:strCache>
                <c:ptCount val="1"/>
                <c:pt idx="0">
                  <c:v>Revenue</c:v>
                </c:pt>
              </c:strCache>
            </c:strRef>
          </c:tx>
          <c:spPr>
            <a:solidFill>
              <a:srgbClr val="4F81BD"/>
            </a:solidFill>
            <a:ln w="12600">
              <a:solidFill>
                <a:srgbClr val="F9F9F9"/>
              </a:solidFill>
              <a:round/>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0">
                  <a:solidFill>
                    <a:srgbClr val="F9F9F9"/>
                  </a:solidFill>
                </a:ln>
              </c:spPr>
            </c:leaderLines>
            <c:extLst>
              <c:ext xmlns:c15="http://schemas.microsoft.com/office/drawing/2012/chart" uri="{CE6537A1-D6FC-4f65-9D91-7224C49458BB}">
                <c15:showLeaderLines val="1"/>
              </c:ext>
            </c:extLst>
          </c:dLbls>
          <c:cat>
            <c:strRef>
              <c:f>'Dashboard (Light)'!$N$2:$N$5</c:f>
              <c:strCache>
                <c:ptCount val="4"/>
                <c:pt idx="0">
                  <c:v>North America</c:v>
                </c:pt>
                <c:pt idx="1">
                  <c:v>Europe</c:v>
                </c:pt>
                <c:pt idx="2">
                  <c:v>APAC</c:v>
                </c:pt>
                <c:pt idx="3">
                  <c:v>LATAM</c:v>
                </c:pt>
              </c:strCache>
            </c:strRef>
          </c:cat>
          <c:val>
            <c:numRef>
              <c:f>'Dashboard (Light)'!$O$2:$O$5</c:f>
              <c:numCache>
                <c:formatCode>\$#,##0</c:formatCode>
                <c:ptCount val="4"/>
                <c:pt idx="0">
                  <c:v>1682800</c:v>
                </c:pt>
                <c:pt idx="1">
                  <c:v>1258800</c:v>
                </c:pt>
                <c:pt idx="2">
                  <c:v>1117900</c:v>
                </c:pt>
                <c:pt idx="3">
                  <c:v>637800</c:v>
                </c:pt>
              </c:numCache>
            </c:numRef>
          </c:val>
        </c:ser>
        <c:gapWidth val="150"/>
        <c:overlap val="0"/>
        <c:axId val="99283703"/>
        <c:axId val="699381"/>
      </c:barChart>
      <c:catAx>
        <c:axId val="99283703"/>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699381"/>
        <c:crosses val="autoZero"/>
        <c:auto val="1"/>
        <c:lblAlgn val="ctr"/>
        <c:lblOffset val="100"/>
        <c:noMultiLvlLbl val="0"/>
      </c:catAx>
      <c:valAx>
        <c:axId val="699381"/>
        <c:scaling>
          <c:orientation val="minMax"/>
        </c:scaling>
        <c:delete val="0"/>
        <c:axPos val="l"/>
        <c:majorGridlines>
          <c:spPr>
            <a:ln w="9360">
              <a:solidFill>
                <a:srgbClr val="878787"/>
              </a:solidFill>
              <a:round/>
            </a:ln>
          </c:spPr>
        </c:majorGridlines>
        <c:numFmt formatCode="\$#,##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9283703"/>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Revenue by product</a:t>
            </a:r>
          </a:p>
        </c:rich>
      </c:tx>
      <c:overlay val="0"/>
      <c:spPr>
        <a:noFill/>
        <a:ln w="0">
          <a:noFill/>
        </a:ln>
      </c:spPr>
    </c:title>
    <c:autoTitleDeleted val="0"/>
    <c:plotArea>
      <c:pieChart>
        <c:varyColors val="1"/>
        <c:ser>
          <c:idx val="0"/>
          <c:order val="0"/>
          <c:tx>
            <c:strRef>
              <c:f>'Dashboard (Light)'!R1</c:f>
              <c:strCache>
                <c:ptCount val="1"/>
                <c:pt idx="0">
                  <c:v>Revenue</c:v>
                </c:pt>
              </c:strCache>
            </c:strRef>
          </c:tx>
          <c:spPr>
            <a:solidFill>
              <a:srgbClr val="4F81BD"/>
            </a:solidFill>
            <a:ln w="12600">
              <a:noFill/>
            </a:ln>
          </c:spPr>
          <c:explosion val="0"/>
          <c:dPt>
            <c:idx val="0"/>
            <c:spPr>
              <a:solidFill>
                <a:srgbClr val="4F81BD"/>
              </a:solidFill>
              <a:ln w="12600">
                <a:noFill/>
              </a:ln>
            </c:spPr>
          </c:dPt>
          <c:dPt>
            <c:idx val="1"/>
            <c:spPr>
              <a:solidFill>
                <a:srgbClr val="C0504D"/>
              </a:solidFill>
              <a:ln w="12600">
                <a:noFill/>
              </a:ln>
            </c:spPr>
          </c:dPt>
          <c:dPt>
            <c:idx val="2"/>
            <c:spPr>
              <a:solidFill>
                <a:srgbClr val="9BBB59"/>
              </a:solidFill>
              <a:ln w="12600">
                <a:noFill/>
              </a:ln>
            </c:spPr>
          </c:dPt>
          <c:dLbls>
            <c:dLbl>
              <c:idx val="0"/>
              <c:txPr>
                <a:bodyPr wrap="none"/>
                <a:lstStyle/>
                <a:p>
                  <a:pPr>
                    <a:defRPr sz="1000" b="0" u="none" strike="noStrike">
                      <a:uFillTx/>
                      <a:latin typeface="Arial"/>
                    </a:defRPr>
                  </a:pPr>
                </a:p>
              </c:txPr>
              <c:showLegendKey val="0"/>
              <c:showVal val="0"/>
              <c:showCatName val="0"/>
              <c:showSerName val="0"/>
              <c:showPercent val="0"/>
              <c:separator> </c:separator>
            </c:dLbl>
            <c:dLbl>
              <c:idx val="1"/>
              <c:txPr>
                <a:bodyPr wrap="none"/>
                <a:lstStyle/>
                <a:p>
                  <a:pPr>
                    <a:defRPr sz="1000" b="0" u="none" strike="noStrike">
                      <a:uFillTx/>
                      <a:latin typeface="Arial"/>
                    </a:defRPr>
                  </a:pPr>
                </a:p>
              </c:txPr>
              <c:showLegendKey val="0"/>
              <c:showVal val="0"/>
              <c:showCatName val="0"/>
              <c:showSerName val="0"/>
              <c:showPercent val="0"/>
              <c:separator> </c:separator>
            </c:dLbl>
            <c:dLbl>
              <c:idx val="2"/>
              <c:txPr>
                <a:bodyPr wrap="none"/>
                <a:lstStyle/>
                <a:p>
                  <a:pPr>
                    <a:defRPr sz="1000" b="0" u="none" strike="noStrike">
                      <a:uFillTx/>
                      <a:latin typeface="Arial"/>
                    </a:defRPr>
                  </a:pPr>
                </a:p>
              </c:txPr>
              <c:showLegendKey val="0"/>
              <c:showVal val="0"/>
              <c:showCatName val="0"/>
              <c:showSerName val="0"/>
              <c:showPercent val="0"/>
              <c:separator> </c:separator>
            </c:dLbl>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0">
                  <a:solidFill>
                    <a:srgbClr val="000000"/>
                  </a:solidFill>
                </a:ln>
              </c:spPr>
            </c:leaderLines>
          </c:dLbls>
          <c:cat>
            <c:strRef>
              <c:f>'Dashboard (Light)'!$Q$2:$Q$4</c:f>
              <c:strCache>
                <c:ptCount val="3"/>
                <c:pt idx="0">
                  <c:v>Software</c:v>
                </c:pt>
                <c:pt idx="1">
                  <c:v>Hardware</c:v>
                </c:pt>
                <c:pt idx="2">
                  <c:v>Services</c:v>
                </c:pt>
              </c:strCache>
            </c:strRef>
          </c:cat>
          <c:val>
            <c:numRef>
              <c:f>'Dashboard (Light)'!$R$2:$R$4</c:f>
              <c:numCache>
                <c:formatCode>\$#,##0</c:formatCode>
                <c:ptCount val="3"/>
                <c:pt idx="0">
                  <c:v>1937500</c:v>
                </c:pt>
                <c:pt idx="1">
                  <c:v>1276200</c:v>
                </c:pt>
                <c:pt idx="2">
                  <c:v>1483600</c:v>
                </c:pt>
              </c:numCache>
            </c:numRef>
          </c:val>
        </c:ser>
        <c:firstSliceAng val="0"/>
      </c:pieChart>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400" b="1" u="none" strike="noStrike">
                <a:solidFill>
                  <a:srgbClr val="F4F1E9"/>
                </a:solidFill>
                <a:uFillTx/>
                <a:latin typeface="Calibri"/>
              </a:rPr>
              <a:t>Revenue trend</a:t>
            </a:r>
          </a:p>
        </c:rich>
      </c:tx>
      <c:overlay val="0"/>
      <c:spPr>
        <a:noFill/>
        <a:ln w="0">
          <a:noFill/>
        </a:ln>
      </c:spPr>
    </c:title>
    <c:autoTitleDeleted val="0"/>
    <c:plotArea>
      <c:lineChart>
        <c:grouping val="standard"/>
        <c:varyColors val="0"/>
        <c:ser>
          <c:idx val="0"/>
          <c:order val="0"/>
          <c:tx>
            <c:strRef>
              <c:f>'Dashboard (Dark)'!L1</c:f>
              <c:strCache>
                <c:ptCount val="1"/>
                <c:pt idx="0">
                  <c:v>Revenue</c:v>
                </c:pt>
              </c:strCache>
            </c:strRef>
          </c:tx>
          <c:spPr>
            <a:solidFill>
              <a:srgbClr val="4A7EBB"/>
            </a:solidFill>
            <a:ln w="12600">
              <a:solidFill>
                <a:srgbClr val="4A7EBB"/>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'Dashboard (Dark)'!$K$2:$K$13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 (Dark)'!$L$2:$L$13</c:f>
              <c:numCache>
                <c:formatCode>\$#,##0</c:formatCode>
                <c:ptCount val="12"/>
                <c:pt idx="0">
                  <c:v>350700</c:v>
                </c:pt>
                <c:pt idx="1">
                  <c:v>356800</c:v>
                </c:pt>
                <c:pt idx="2">
                  <c:v>373800</c:v>
                </c:pt>
                <c:pt idx="3">
                  <c:v>369600</c:v>
                </c:pt>
                <c:pt idx="4">
                  <c:v>389100</c:v>
                </c:pt>
                <c:pt idx="5">
                  <c:v>388300</c:v>
                </c:pt>
                <c:pt idx="6">
                  <c:v>389900</c:v>
                </c:pt>
                <c:pt idx="7">
                  <c:v>393500</c:v>
                </c:pt>
                <c:pt idx="8">
                  <c:v>422700</c:v>
                </c:pt>
                <c:pt idx="9">
                  <c:v>418100</c:v>
                </c:pt>
                <c:pt idx="10">
                  <c:v>405500</c:v>
                </c:pt>
                <c:pt idx="11">
                  <c:v>439300</c:v>
                </c:pt>
              </c:numCache>
            </c:numRef>
          </c:val>
          <c:smooth val="1"/>
        </c:ser>
        <c:hiLowLines>
          <c:spPr>
            <a:ln w="0">
              <a:noFill/>
            </a:ln>
          </c:spPr>
        </c:hiLowLines>
        <c:marker val="0"/>
        <c:axId val="71379346"/>
        <c:axId val="54156163"/>
      </c:lineChart>
      <c:catAx>
        <c:axId val="71379346"/>
        <c:scaling>
          <c:orientation val="minMax"/>
        </c:scaling>
        <c:delete val="0"/>
        <c:axPos val="b"/>
        <c:numFmt formatCode="mmm" sourceLinked="1"/>
        <c:majorTickMark val="none"/>
        <c:minorTickMark val="none"/>
        <c:tickLblPos val="nextTo"/>
        <c:spPr>
          <a:ln w="9360">
            <a:solidFill>
              <a:srgbClr val="2E3340"/>
            </a:solidFill>
            <a:round/>
          </a:ln>
        </c:spPr>
        <c:txPr>
          <a:bodyPr/>
          <a:lstStyle/>
          <a:p>
            <a:pPr>
              <a:defRPr sz="900" b="0" u="none" strike="noStrike">
                <a:solidFill>
                  <a:srgbClr val="F4F1E9"/>
                </a:solidFill>
                <a:uFillTx/>
                <a:latin typeface="Calibri"/>
              </a:defRPr>
            </a:pPr>
          </a:p>
        </c:txPr>
        <c:crossAx val="54156163"/>
        <c:crosses val="autoZero"/>
        <c:auto val="1"/>
        <c:lblAlgn val="ctr"/>
        <c:lblOffset val="100"/>
        <c:noMultiLvlLbl val="0"/>
      </c:catAx>
      <c:valAx>
        <c:axId val="54156163"/>
        <c:scaling>
          <c:orientation val="minMax"/>
        </c:scaling>
        <c:delete val="0"/>
        <c:axPos val="l"/>
        <c:numFmt formatCode="\$#,##0" sourceLinked="1"/>
        <c:majorTickMark val="none"/>
        <c:minorTickMark val="none"/>
        <c:tickLblPos val="nextTo"/>
        <c:spPr>
          <a:ln w="9360">
            <a:solidFill>
              <a:srgbClr val="2E3340"/>
            </a:solidFill>
            <a:round/>
          </a:ln>
        </c:spPr>
        <c:txPr>
          <a:bodyPr/>
          <a:lstStyle/>
          <a:p>
            <a:pPr>
              <a:defRPr sz="900" b="0" u="none" strike="noStrike">
                <a:solidFill>
                  <a:srgbClr val="F4F1E9"/>
                </a:solidFill>
                <a:uFillTx/>
                <a:latin typeface="Calibri"/>
              </a:defRPr>
            </a:pPr>
          </a:p>
        </c:txPr>
        <c:crossAx val="71379346"/>
        <c:crosses val="autoZero"/>
        <c:crossBetween val="between"/>
      </c:valAx>
      <c:spPr>
        <a:solidFill>
          <a:srgbClr val="14171F"/>
        </a:solidFill>
        <a:ln w="0">
          <a:noFill/>
        </a:ln>
      </c:spPr>
    </c:plotArea>
    <c:legend>
      <c:legendPos val="r"/>
      <c:overlay val="0"/>
      <c:spPr>
        <a:noFill/>
        <a:ln w="0">
          <a:noFill/>
        </a:ln>
      </c:spPr>
      <c:txPr>
        <a:bodyPr/>
        <a:lstStyle/>
        <a:p>
          <a:pPr>
            <a:defRPr sz="900" b="0" u="none" strike="noStrike">
              <a:solidFill>
                <a:srgbClr val="F4F1E9"/>
              </a:solidFill>
              <a:uFillTx/>
              <a:latin typeface="Calibri"/>
            </a:defRPr>
          </a:pPr>
        </a:p>
      </c:txPr>
    </c:legend>
    <c:plotVisOnly val="1"/>
    <c:dispBlanksAs val="gap"/>
  </c:chart>
  <c:spPr>
    <a:solidFill>
      <a:srgbClr val="14171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style val="10"/>
  <c:chart>
    <c:title>
      <c:tx>
        <c:rich>
          <a:bodyPr rot="0"/>
          <a:lstStyle/>
          <a:p>
            <a:pPr>
              <a:defRPr sz="1300" b="0" u="none" strike="noStrike">
                <a:uFillTx/>
                <a:latin typeface="Arial"/>
              </a:defRPr>
            </a:pPr>
            <a:r>
              <a:rPr sz="1400" b="1" u="none" strike="noStrike">
                <a:solidFill>
                  <a:srgbClr val="F4F1E9"/>
                </a:solidFill>
                <a:uFillTx/>
                <a:latin typeface="Calibri"/>
              </a:rPr>
              <a:t>Revenue by region</a:t>
            </a:r>
          </a:p>
        </c:rich>
      </c:tx>
      <c:overlay val="0"/>
      <c:spPr>
        <a:noFill/>
        <a:ln w="0">
          <a:noFill/>
        </a:ln>
      </c:spPr>
    </c:title>
    <c:autoTitleDeleted val="0"/>
    <c:plotArea>
      <c:barChart>
        <c:barDir val="col"/>
        <c:grouping val="clustered"/>
        <c:varyColors val="0"/>
        <c:ser>
          <c:idx val="0"/>
          <c:order val="0"/>
          <c:tx>
            <c:strRef>
              <c:f>'Dashboard (Dark)'!O1</c:f>
              <c:strCache>
                <c:ptCount val="1"/>
                <c:pt idx="0">
                  <c:v>Revenue</c:v>
                </c:pt>
              </c:strCache>
            </c:strRef>
          </c:tx>
          <c:spPr>
            <a:solidFill>
              <a:srgbClr val="4F81BD"/>
            </a:solidFill>
            <a:ln w="12600">
              <a:solidFill>
                <a:srgbClr val="F9F9F9"/>
              </a:solidFill>
              <a:round/>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0">
                  <a:solidFill>
                    <a:srgbClr val="F9F9F9"/>
                  </a:solidFill>
                </a:ln>
              </c:spPr>
            </c:leaderLines>
            <c:extLst>
              <c:ext xmlns:c15="http://schemas.microsoft.com/office/drawing/2012/chart" uri="{CE6537A1-D6FC-4f65-9D91-7224C49458BB}">
                <c15:showLeaderLines val="1"/>
              </c:ext>
            </c:extLst>
          </c:dLbls>
          <c:cat>
            <c:strRef>
              <c:f>'Dashboard (Dark)'!$N$2:$N$5</c:f>
              <c:strCache>
                <c:ptCount val="4"/>
                <c:pt idx="0">
                  <c:v>North America</c:v>
                </c:pt>
                <c:pt idx="1">
                  <c:v>Europe</c:v>
                </c:pt>
                <c:pt idx="2">
                  <c:v>APAC</c:v>
                </c:pt>
                <c:pt idx="3">
                  <c:v>LATAM</c:v>
                </c:pt>
              </c:strCache>
            </c:strRef>
          </c:cat>
          <c:val>
            <c:numRef>
              <c:f>'Dashboard (Dark)'!$O$2:$O$5</c:f>
              <c:numCache>
                <c:formatCode>\$#,##0</c:formatCode>
                <c:ptCount val="4"/>
                <c:pt idx="0">
                  <c:v>1682800</c:v>
                </c:pt>
                <c:pt idx="1">
                  <c:v>1258800</c:v>
                </c:pt>
                <c:pt idx="2">
                  <c:v>1117900</c:v>
                </c:pt>
                <c:pt idx="3">
                  <c:v>637800</c:v>
                </c:pt>
              </c:numCache>
            </c:numRef>
          </c:val>
        </c:ser>
        <c:gapWidth val="150"/>
        <c:overlap val="0"/>
        <c:axId val="17234433"/>
        <c:axId val="98632862"/>
      </c:barChart>
      <c:catAx>
        <c:axId val="17234433"/>
        <c:scaling>
          <c:orientation val="minMax"/>
        </c:scaling>
        <c:delete val="0"/>
        <c:axPos val="b"/>
        <c:numFmt formatCode="General" sourceLinked="1"/>
        <c:majorTickMark val="none"/>
        <c:minorTickMark val="none"/>
        <c:tickLblPos val="nextTo"/>
        <c:spPr>
          <a:ln w="9360">
            <a:solidFill>
              <a:srgbClr val="2E3340"/>
            </a:solidFill>
            <a:round/>
          </a:ln>
        </c:spPr>
        <c:txPr>
          <a:bodyPr/>
          <a:lstStyle/>
          <a:p>
            <a:pPr>
              <a:defRPr sz="900" b="0" u="none" strike="noStrike">
                <a:solidFill>
                  <a:srgbClr val="F4F1E9"/>
                </a:solidFill>
                <a:uFillTx/>
                <a:latin typeface="Calibri"/>
              </a:defRPr>
            </a:pPr>
          </a:p>
        </c:txPr>
        <c:crossAx val="98632862"/>
        <c:crosses val="autoZero"/>
        <c:auto val="1"/>
        <c:lblAlgn val="ctr"/>
        <c:lblOffset val="100"/>
        <c:noMultiLvlLbl val="0"/>
      </c:catAx>
      <c:valAx>
        <c:axId val="98632862"/>
        <c:scaling>
          <c:orientation val="minMax"/>
        </c:scaling>
        <c:delete val="0"/>
        <c:axPos val="l"/>
        <c:numFmt formatCode="\$#,##0" sourceLinked="1"/>
        <c:majorTickMark val="none"/>
        <c:minorTickMark val="none"/>
        <c:tickLblPos val="nextTo"/>
        <c:spPr>
          <a:ln w="9360">
            <a:solidFill>
              <a:srgbClr val="2E3340"/>
            </a:solidFill>
            <a:round/>
          </a:ln>
        </c:spPr>
        <c:txPr>
          <a:bodyPr/>
          <a:lstStyle/>
          <a:p>
            <a:pPr>
              <a:defRPr sz="900" b="0" u="none" strike="noStrike">
                <a:solidFill>
                  <a:srgbClr val="F4F1E9"/>
                </a:solidFill>
                <a:uFillTx/>
                <a:latin typeface="Calibri"/>
              </a:defRPr>
            </a:pPr>
          </a:p>
        </c:txPr>
        <c:crossAx val="17234433"/>
        <c:crosses val="autoZero"/>
        <c:crossBetween val="between"/>
      </c:valAx>
      <c:spPr>
        <a:solidFill>
          <a:srgbClr val="14171F"/>
        </a:solidFill>
        <a:ln w="0">
          <a:noFill/>
        </a:ln>
      </c:spPr>
    </c:plotArea>
    <c:legend>
      <c:legendPos val="r"/>
      <c:overlay val="0"/>
      <c:spPr>
        <a:noFill/>
        <a:ln w="0">
          <a:noFill/>
        </a:ln>
      </c:spPr>
      <c:txPr>
        <a:bodyPr/>
        <a:lstStyle/>
        <a:p>
          <a:pPr>
            <a:defRPr sz="900" b="0" u="none" strike="noStrike">
              <a:solidFill>
                <a:srgbClr val="F4F1E9"/>
              </a:solidFill>
              <a:uFillTx/>
              <a:latin typeface="Calibri"/>
            </a:defRPr>
          </a:pPr>
        </a:p>
      </c:txPr>
    </c:legend>
    <c:plotVisOnly val="1"/>
    <c:dispBlanksAs val="gap"/>
  </c:chart>
  <c:spPr>
    <a:solidFill>
      <a:srgbClr val="14171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400" b="1" u="none" strike="noStrike">
                <a:solidFill>
                  <a:srgbClr val="F4F1E9"/>
                </a:solidFill>
                <a:uFillTx/>
                <a:latin typeface="Calibri"/>
              </a:rPr>
              <a:t>Revenue by product</a:t>
            </a:r>
          </a:p>
        </c:rich>
      </c:tx>
      <c:overlay val="0"/>
      <c:spPr>
        <a:noFill/>
        <a:ln w="0">
          <a:noFill/>
        </a:ln>
      </c:spPr>
    </c:title>
    <c:autoTitleDeleted val="0"/>
    <c:plotArea>
      <c:pieChart>
        <c:varyColors val="1"/>
        <c:ser>
          <c:idx val="0"/>
          <c:order val="0"/>
          <c:tx>
            <c:strRef>
              <c:f>'Dashboard (Dark)'!R1</c:f>
              <c:strCache>
                <c:ptCount val="1"/>
                <c:pt idx="0">
                  <c:v>Revenue</c:v>
                </c:pt>
              </c:strCache>
            </c:strRef>
          </c:tx>
          <c:spPr>
            <a:solidFill>
              <a:srgbClr val="4F81BD"/>
            </a:solidFill>
            <a:ln w="12600">
              <a:noFill/>
            </a:ln>
          </c:spPr>
          <c:explosion val="0"/>
          <c:dPt>
            <c:idx val="0"/>
            <c:spPr>
              <a:solidFill>
                <a:srgbClr val="4F81BD"/>
              </a:solidFill>
              <a:ln w="12600">
                <a:noFill/>
              </a:ln>
            </c:spPr>
          </c:dPt>
          <c:dPt>
            <c:idx val="1"/>
            <c:spPr>
              <a:solidFill>
                <a:srgbClr val="C0504D"/>
              </a:solidFill>
              <a:ln w="12600">
                <a:noFill/>
              </a:ln>
            </c:spPr>
          </c:dPt>
          <c:dPt>
            <c:idx val="2"/>
            <c:spPr>
              <a:solidFill>
                <a:srgbClr val="9BBB59"/>
              </a:solidFill>
              <a:ln w="12600">
                <a:noFill/>
              </a:ln>
            </c:spPr>
          </c:dPt>
          <c:dLbls>
            <c:dLbl>
              <c:idx val="0"/>
              <c:txPr>
                <a:bodyPr wrap="none"/>
                <a:lstStyle/>
                <a:p>
                  <a:pPr>
                    <a:defRPr sz="1000" b="0" u="none" strike="noStrike">
                      <a:uFillTx/>
                      <a:latin typeface="Arial"/>
                    </a:defRPr>
                  </a:pPr>
                </a:p>
              </c:txPr>
              <c:showLegendKey val="0"/>
              <c:showVal val="0"/>
              <c:showCatName val="0"/>
              <c:showSerName val="0"/>
              <c:showPercent val="0"/>
              <c:separator> </c:separator>
            </c:dLbl>
            <c:dLbl>
              <c:idx val="1"/>
              <c:txPr>
                <a:bodyPr wrap="none"/>
                <a:lstStyle/>
                <a:p>
                  <a:pPr>
                    <a:defRPr sz="1000" b="0" u="none" strike="noStrike">
                      <a:uFillTx/>
                      <a:latin typeface="Arial"/>
                    </a:defRPr>
                  </a:pPr>
                </a:p>
              </c:txPr>
              <c:showLegendKey val="0"/>
              <c:showVal val="0"/>
              <c:showCatName val="0"/>
              <c:showSerName val="0"/>
              <c:showPercent val="0"/>
              <c:separator> </c:separator>
            </c:dLbl>
            <c:dLbl>
              <c:idx val="2"/>
              <c:txPr>
                <a:bodyPr wrap="none"/>
                <a:lstStyle/>
                <a:p>
                  <a:pPr>
                    <a:defRPr sz="1000" b="0" u="none" strike="noStrike">
                      <a:uFillTx/>
                      <a:latin typeface="Arial"/>
                    </a:defRPr>
                  </a:pPr>
                </a:p>
              </c:txPr>
              <c:showLegendKey val="0"/>
              <c:showVal val="0"/>
              <c:showCatName val="0"/>
              <c:showSerName val="0"/>
              <c:showPercent val="0"/>
              <c:separator> </c:separator>
            </c:dLbl>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0">
                  <a:solidFill>
                    <a:srgbClr val="000000"/>
                  </a:solidFill>
                </a:ln>
              </c:spPr>
            </c:leaderLines>
          </c:dLbls>
          <c:cat>
            <c:strRef>
              <c:f>'Dashboard (Dark)'!$Q$2:$Q$4</c:f>
              <c:strCache>
                <c:ptCount val="3"/>
                <c:pt idx="0">
                  <c:v>Software</c:v>
                </c:pt>
                <c:pt idx="1">
                  <c:v>Hardware</c:v>
                </c:pt>
                <c:pt idx="2">
                  <c:v>Services</c:v>
                </c:pt>
              </c:strCache>
            </c:strRef>
          </c:cat>
          <c:val>
            <c:numRef>
              <c:f>'Dashboard (Dark)'!$R$2:$R$4</c:f>
              <c:numCache>
                <c:formatCode>\$#,##0</c:formatCode>
                <c:ptCount val="3"/>
                <c:pt idx="0">
                  <c:v>1937500</c:v>
                </c:pt>
                <c:pt idx="1">
                  <c:v>1276200</c:v>
                </c:pt>
                <c:pt idx="2">
                  <c:v>1483600</c:v>
                </c:pt>
              </c:numCache>
            </c:numRef>
          </c:val>
        </c:ser>
        <c:firstSliceAng val="0"/>
      </c:pieChart>
      <c:spPr>
        <a:solidFill>
          <a:srgbClr val="14171F"/>
        </a:solidFill>
        <a:ln w="0">
          <a:noFill/>
        </a:ln>
      </c:spPr>
    </c:plotArea>
    <c:legend>
      <c:legendPos val="r"/>
      <c:overlay val="0"/>
      <c:spPr>
        <a:noFill/>
        <a:ln w="0">
          <a:noFill/>
        </a:ln>
      </c:spPr>
      <c:txPr>
        <a:bodyPr/>
        <a:lstStyle/>
        <a:p>
          <a:pPr>
            <a:defRPr sz="900" b="0" u="none" strike="noStrike">
              <a:solidFill>
                <a:srgbClr val="F4F1E9"/>
              </a:solidFill>
              <a:uFillTx/>
              <a:latin typeface="Calibri"/>
            </a:defRPr>
          </a:pPr>
        </a:p>
      </c:txPr>
    </c:legend>
    <c:plotVisOnly val="1"/>
    <c:dispBlanksAs val="gap"/>
  </c:chart>
  <c:spPr>
    <a:solidFill>
      <a:srgbClr val="14171F"/>
    </a:solidFill>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cs:colorStyle>
</file>

<file path=xl/charts/colors2.xml><?xml version="1.0" encoding="utf-8"?>
<cs:colorStyle xmlns:cs="http://schemas.microsoft.com/office/drawing/2012/chartStyle" xmlns:a="http://schemas.openxmlformats.org/drawingml/2006/main" meth="cycle" id="10">
  <a:schemeClr val="accent1"/>
</cs:colorStyle>
</file>

<file path=xl/charts/colors3.xml><?xml version="1.0" encoding="utf-8"?>
<cs:colorStyle xmlns:cs="http://schemas.microsoft.com/office/drawing/2012/chartStyle" xmlns:a="http://schemas.openxmlformats.org/drawingml/2006/main" meth="cycle" id="10">
  <a:schemeClr val="accent1"/>
</cs:colorStyle>
</file>

<file path=xl/charts/colors4.xml><?xml version="1.0" encoding="utf-8"?>
<cs:colorStyle xmlns:cs="http://schemas.microsoft.com/office/drawing/2012/chartStyle" xmlns:a="http://schemas.openxmlformats.org/drawingml/2006/main" meth="cycle" id="10">
  <a:schemeClr val="accent1"/>
</cs:colorStyle>
</file>

<file path=xl/charts/colors5.xml><?xml version="1.0" encoding="utf-8"?>
<cs:colorStyle xmlns:cs="http://schemas.microsoft.com/office/drawing/2012/chartStyle" xmlns:a="http://schemas.openxmlformats.org/drawingml/2006/main" meth="cycle" id="10">
  <a:schemeClr val="accent1"/>
</cs:colorStyle>
</file>

<file path=xl/charts/colors6.xml><?xml version="1.0" encoding="utf-8"?>
<cs:colorStyle xmlns:cs="http://schemas.microsoft.com/office/drawing/2012/chartStyle" xmlns:a="http://schemas.openxmlformats.org/drawingml/2006/main" meth="cycle" id="10">
  <a:schemeClr val="accent1"/>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
</Relationships>
</file>

<file path=xl/drawings/_rels/drawing2.xml.rels><?xml version="1.0" encoding="UTF-8"?>
<Relationships xmlns="http://schemas.openxmlformats.org/package/2006/relationships"><Relationship Id="rId1" Type="http://schemas.openxmlformats.org/officeDocument/2006/relationships/chart" Target="../charts/chart4.xml"/><Relationship Id="rId2" Type="http://schemas.openxmlformats.org/officeDocument/2006/relationships/chart" Target="../charts/chart5.xml"/><Relationship Id="rId3" Type="http://schemas.openxmlformats.org/officeDocument/2006/relationships/chart" Target="../charts/chart6.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11</xdr:row>
      <xdr:rowOff>0</xdr:rowOff>
    </xdr:from>
    <xdr:to>
      <xdr:col>6</xdr:col>
      <xdr:colOff>113040</xdr:colOff>
      <xdr:row>23</xdr:row>
      <xdr:rowOff>136440</xdr:rowOff>
    </xdr:to>
    <xdr:graphicFrame>
      <xdr:nvGraphicFramePr>
        <xdr:cNvPr id="1" name="Chart 1"/>
        <xdr:cNvGraphicFramePr/>
      </xdr:nvGraphicFramePr>
      <xdr:xfrm>
        <a:off x="211320" y="2638440"/>
        <a:ext cx="539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0</xdr:colOff>
      <xdr:row>11</xdr:row>
      <xdr:rowOff>0</xdr:rowOff>
    </xdr:from>
    <xdr:to>
      <xdr:col>13</xdr:col>
      <xdr:colOff>725040</xdr:colOff>
      <xdr:row>23</xdr:row>
      <xdr:rowOff>136440</xdr:rowOff>
    </xdr:to>
    <xdr:graphicFrame>
      <xdr:nvGraphicFramePr>
        <xdr:cNvPr id="2" name="Chart 2"/>
        <xdr:cNvGraphicFramePr/>
      </xdr:nvGraphicFramePr>
      <xdr:xfrm>
        <a:off x="5497920" y="2638440"/>
        <a:ext cx="4319640" cy="287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0</xdr:colOff>
      <xdr:row>11</xdr:row>
      <xdr:rowOff>0</xdr:rowOff>
    </xdr:from>
    <xdr:to>
      <xdr:col>16</xdr:col>
      <xdr:colOff>639000</xdr:colOff>
      <xdr:row>23</xdr:row>
      <xdr:rowOff>136440</xdr:rowOff>
    </xdr:to>
    <xdr:graphicFrame>
      <xdr:nvGraphicFramePr>
        <xdr:cNvPr id="3" name="Chart 3"/>
        <xdr:cNvGraphicFramePr/>
      </xdr:nvGraphicFramePr>
      <xdr:xfrm>
        <a:off x="8035200" y="2638440"/>
        <a:ext cx="3599640" cy="287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11</xdr:row>
      <xdr:rowOff>0</xdr:rowOff>
    </xdr:from>
    <xdr:to>
      <xdr:col>6</xdr:col>
      <xdr:colOff>113040</xdr:colOff>
      <xdr:row>23</xdr:row>
      <xdr:rowOff>136440</xdr:rowOff>
    </xdr:to>
    <xdr:graphicFrame>
      <xdr:nvGraphicFramePr>
        <xdr:cNvPr id="4" name="Chart 1"/>
        <xdr:cNvGraphicFramePr/>
      </xdr:nvGraphicFramePr>
      <xdr:xfrm>
        <a:off x="211320" y="2638440"/>
        <a:ext cx="539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0</xdr:colOff>
      <xdr:row>11</xdr:row>
      <xdr:rowOff>0</xdr:rowOff>
    </xdr:from>
    <xdr:to>
      <xdr:col>13</xdr:col>
      <xdr:colOff>725040</xdr:colOff>
      <xdr:row>23</xdr:row>
      <xdr:rowOff>136440</xdr:rowOff>
    </xdr:to>
    <xdr:graphicFrame>
      <xdr:nvGraphicFramePr>
        <xdr:cNvPr id="5" name="Chart 2"/>
        <xdr:cNvGraphicFramePr/>
      </xdr:nvGraphicFramePr>
      <xdr:xfrm>
        <a:off x="5497920" y="2638440"/>
        <a:ext cx="4319640" cy="287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0</xdr:colOff>
      <xdr:row>11</xdr:row>
      <xdr:rowOff>0</xdr:rowOff>
    </xdr:from>
    <xdr:to>
      <xdr:col>16</xdr:col>
      <xdr:colOff>639000</xdr:colOff>
      <xdr:row>23</xdr:row>
      <xdr:rowOff>136440</xdr:rowOff>
    </xdr:to>
    <xdr:graphicFrame>
      <xdr:nvGraphicFramePr>
        <xdr:cNvPr id="6" name="Chart 3"/>
        <xdr:cNvGraphicFramePr/>
      </xdr:nvGraphicFramePr>
      <xdr:xfrm>
        <a:off x="8035200" y="2638440"/>
        <a:ext cx="3599640" cy="287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8934A"/>
    <pageSetUpPr fitToPage="false"/>
  </sheetPr>
  <dimension ref="B1:G3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
    <col collapsed="false" customWidth="true" hidden="false" outlineLevel="0" max="7" min="2" style="0" width="16"/>
    <col collapsed="false" customWidth="true" hidden="false" outlineLevel="0" max="8" min="8" style="0" width="3"/>
  </cols>
  <sheetData>
    <row r="1" customFormat="false" ht="18" hidden="false" customHeight="true" outlineLevel="0" collapsed="false"/>
    <row r="2" customFormat="false" ht="18" hidden="false" customHeight="true" outlineLevel="0" collapsed="false">
      <c r="B2" s="1" t="s">
        <v>0</v>
      </c>
      <c r="C2" s="1"/>
      <c r="D2" s="1"/>
      <c r="E2" s="1"/>
      <c r="F2" s="1"/>
      <c r="G2" s="1"/>
    </row>
    <row r="3" customFormat="false" ht="18" hidden="false" customHeight="true" outlineLevel="0" collapsed="false"/>
    <row r="4" customFormat="false" ht="18" hidden="false" customHeight="true" outlineLevel="0" collapsed="false">
      <c r="B4" s="2" t="s">
        <v>1</v>
      </c>
      <c r="C4" s="2"/>
      <c r="D4" s="2"/>
      <c r="E4" s="2"/>
      <c r="F4" s="2"/>
      <c r="G4" s="2"/>
    </row>
    <row r="5" customFormat="false" ht="18" hidden="false" customHeight="true" outlineLevel="0" collapsed="false">
      <c r="B5" s="2"/>
      <c r="C5" s="2"/>
      <c r="D5" s="2"/>
      <c r="E5" s="2"/>
      <c r="F5" s="2"/>
      <c r="G5" s="2"/>
    </row>
    <row r="6" customFormat="false" ht="18" hidden="false" customHeight="true" outlineLevel="0" collapsed="false">
      <c r="B6" s="2"/>
      <c r="C6" s="2"/>
      <c r="D6" s="2"/>
      <c r="E6" s="2"/>
      <c r="F6" s="2"/>
      <c r="G6" s="2"/>
    </row>
    <row r="7" customFormat="false" ht="18" hidden="false" customHeight="true" outlineLevel="0" collapsed="false">
      <c r="B7" s="3" t="s">
        <v>2</v>
      </c>
      <c r="C7" s="3"/>
      <c r="D7" s="3"/>
      <c r="E7" s="3"/>
      <c r="F7" s="3"/>
      <c r="G7" s="3"/>
    </row>
    <row r="8" customFormat="false" ht="18" hidden="false" customHeight="true" outlineLevel="0" collapsed="false">
      <c r="B8" s="3"/>
      <c r="C8" s="3"/>
      <c r="D8" s="3"/>
      <c r="E8" s="3"/>
      <c r="F8" s="3"/>
      <c r="G8" s="3"/>
    </row>
    <row r="9" customFormat="false" ht="18" hidden="false" customHeight="true" outlineLevel="0" collapsed="false"/>
    <row r="10" customFormat="false" ht="18" hidden="false" customHeight="true" outlineLevel="0" collapsed="false">
      <c r="B10" s="4" t="s">
        <v>3</v>
      </c>
    </row>
    <row r="11" customFormat="false" ht="18" hidden="false" customHeight="true" outlineLevel="0" collapsed="false">
      <c r="B11" s="5" t="s">
        <v>4</v>
      </c>
      <c r="C11" s="6" t="s">
        <v>5</v>
      </c>
      <c r="D11" s="6"/>
      <c r="E11" s="6"/>
      <c r="F11" s="6"/>
      <c r="G11" s="6"/>
    </row>
    <row r="12" customFormat="false" ht="18" hidden="false" customHeight="true" outlineLevel="0" collapsed="false">
      <c r="B12" s="5" t="s">
        <v>4</v>
      </c>
      <c r="C12" s="6" t="s">
        <v>6</v>
      </c>
      <c r="D12" s="6"/>
      <c r="E12" s="6"/>
      <c r="F12" s="6"/>
      <c r="G12" s="6"/>
    </row>
    <row r="13" customFormat="false" ht="18" hidden="false" customHeight="true" outlineLevel="0" collapsed="false">
      <c r="B13" s="5" t="s">
        <v>4</v>
      </c>
      <c r="C13" s="6" t="s">
        <v>7</v>
      </c>
      <c r="D13" s="6"/>
      <c r="E13" s="6"/>
      <c r="F13" s="6"/>
      <c r="G13" s="6"/>
    </row>
    <row r="14" customFormat="false" ht="18" hidden="false" customHeight="true" outlineLevel="0" collapsed="false">
      <c r="B14" s="5" t="s">
        <v>4</v>
      </c>
      <c r="C14" s="6" t="s">
        <v>8</v>
      </c>
      <c r="D14" s="6"/>
      <c r="E14" s="6"/>
      <c r="F14" s="6"/>
      <c r="G14" s="6"/>
    </row>
    <row r="15" customFormat="false" ht="18" hidden="false" customHeight="true" outlineLevel="0" collapsed="false">
      <c r="B15" s="5" t="s">
        <v>4</v>
      </c>
      <c r="C15" s="6" t="s">
        <v>9</v>
      </c>
      <c r="D15" s="6"/>
      <c r="E15" s="6"/>
      <c r="F15" s="6"/>
      <c r="G15" s="6"/>
    </row>
    <row r="16" customFormat="false" ht="18" hidden="false" customHeight="true" outlineLevel="0" collapsed="false"/>
    <row r="17" customFormat="false" ht="18" hidden="false" customHeight="true" outlineLevel="0" collapsed="false"/>
    <row r="18" customFormat="false" ht="18" hidden="false" customHeight="true" outlineLevel="0" collapsed="false">
      <c r="B18" s="4" t="s">
        <v>10</v>
      </c>
    </row>
    <row r="19" customFormat="false" ht="18" hidden="false" customHeight="true" outlineLevel="0" collapsed="false">
      <c r="B19" s="7" t="s">
        <v>11</v>
      </c>
      <c r="C19" s="7"/>
      <c r="D19" s="7"/>
      <c r="E19" s="7"/>
      <c r="F19" s="7"/>
      <c r="G19" s="7"/>
    </row>
    <row r="20" customFormat="false" ht="18" hidden="false" customHeight="true" outlineLevel="0" collapsed="false">
      <c r="B20" s="7"/>
      <c r="C20" s="7"/>
      <c r="D20" s="7"/>
      <c r="E20" s="7"/>
      <c r="F20" s="7"/>
      <c r="G20" s="7"/>
    </row>
    <row r="21" customFormat="false" ht="18" hidden="false" customHeight="true" outlineLevel="0" collapsed="false"/>
    <row r="22" customFormat="false" ht="18" hidden="false" customHeight="true" outlineLevel="0" collapsed="false"/>
    <row r="23" customFormat="false" ht="18" hidden="false" customHeight="true" outlineLevel="0" collapsed="false">
      <c r="B23" s="8" t="s">
        <v>12</v>
      </c>
    </row>
    <row r="24" customFormat="false" ht="18" hidden="false" customHeight="true" outlineLevel="0" collapsed="false"/>
    <row r="25" customFormat="false" ht="18" hidden="false" customHeight="true" outlineLevel="0" collapsed="false"/>
    <row r="26" customFormat="false" ht="18" hidden="false" customHeight="true" outlineLevel="0" collapsed="false"/>
    <row r="27" customFormat="false" ht="18" hidden="false" customHeight="true" outlineLevel="0" collapsed="false"/>
    <row r="28" customFormat="false" ht="18" hidden="false" customHeight="true" outlineLevel="0" collapsed="false"/>
    <row r="29" customFormat="false" ht="18" hidden="false" customHeight="true" outlineLevel="0" collapsed="false"/>
    <row r="30" customFormat="false" ht="18" hidden="false" customHeight="true" outlineLevel="0" collapsed="false"/>
    <row r="31" customFormat="false" ht="18" hidden="false" customHeight="true" outlineLevel="0" collapsed="false"/>
    <row r="32" customFormat="false" ht="18" hidden="false" customHeight="true" outlineLevel="0" collapsed="false"/>
    <row r="33" customFormat="false" ht="18" hidden="false" customHeight="true" outlineLevel="0" collapsed="false"/>
    <row r="34" customFormat="false" ht="18" hidden="false" customHeight="true" outlineLevel="0" collapsed="false"/>
    <row r="35" customFormat="false" ht="18" hidden="false" customHeight="true" outlineLevel="0" collapsed="false"/>
    <row r="36" customFormat="false" ht="18" hidden="false" customHeight="true" outlineLevel="0" collapsed="false"/>
    <row r="37" customFormat="false" ht="18" hidden="false" customHeight="true" outlineLevel="0" collapsed="false"/>
    <row r="38" customFormat="false" ht="18" hidden="false" customHeight="true" outlineLevel="0" collapsed="false"/>
    <row r="39" customFormat="false" ht="18" hidden="false" customHeight="true" outlineLevel="0" collapsed="false"/>
  </sheetData>
  <mergeCells count="9">
    <mergeCell ref="B2:G2"/>
    <mergeCell ref="B4:G6"/>
    <mergeCell ref="B7:G8"/>
    <mergeCell ref="C11:G11"/>
    <mergeCell ref="C12:G12"/>
    <mergeCell ref="C13:G13"/>
    <mergeCell ref="C14:G14"/>
    <mergeCell ref="C15:G15"/>
    <mergeCell ref="B19:G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B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
    <col collapsed="false" customWidth="true" hidden="false" outlineLevel="0" max="2" min="2" style="0" width="100"/>
  </cols>
  <sheetData>
    <row r="2" customFormat="false" ht="24.45" hidden="false" customHeight="false" outlineLevel="0" collapsed="false">
      <c r="B2" s="9" t="s">
        <v>13</v>
      </c>
    </row>
    <row r="4" customFormat="false" ht="16.15" hidden="false" customHeight="false" outlineLevel="0" collapsed="false">
      <c r="B4" s="10" t="s">
        <v>14</v>
      </c>
    </row>
    <row r="5" customFormat="false" ht="35.05" hidden="false" customHeight="false" outlineLevel="0" collapsed="false">
      <c r="B5" s="11" t="s">
        <v>15</v>
      </c>
    </row>
    <row r="7" customFormat="false" ht="16.15" hidden="false" customHeight="false" outlineLevel="0" collapsed="false">
      <c r="B7" s="10" t="s">
        <v>16</v>
      </c>
    </row>
    <row r="8" customFormat="false" ht="23.85" hidden="false" customHeight="false" outlineLevel="0" collapsed="false">
      <c r="B8" s="11" t="s">
        <v>17</v>
      </c>
    </row>
    <row r="10" customFormat="false" ht="16.15" hidden="false" customHeight="false" outlineLevel="0" collapsed="false">
      <c r="B10" s="10" t="s">
        <v>18</v>
      </c>
    </row>
    <row r="11" customFormat="false" ht="23.85" hidden="false" customHeight="false" outlineLevel="0" collapsed="false">
      <c r="B11" s="11" t="s">
        <v>19</v>
      </c>
    </row>
    <row r="13" customFormat="false" ht="16.15" hidden="false" customHeight="false" outlineLevel="0" collapsed="false">
      <c r="B13" s="10" t="s">
        <v>20</v>
      </c>
    </row>
    <row r="14" customFormat="false" ht="23.85" hidden="false" customHeight="false" outlineLevel="0" collapsed="false">
      <c r="B14" s="11" t="s">
        <v>21</v>
      </c>
    </row>
    <row r="16" customFormat="false" ht="16.15" hidden="false" customHeight="false" outlineLevel="0" collapsed="false">
      <c r="B16" s="10" t="s">
        <v>22</v>
      </c>
    </row>
    <row r="17" customFormat="false" ht="23.85" hidden="false" customHeight="false" outlineLevel="0" collapsed="false">
      <c r="B17" s="11" t="s">
        <v>23</v>
      </c>
    </row>
    <row r="19" customFormat="false" ht="16.15" hidden="false" customHeight="false" outlineLevel="0" collapsed="false">
      <c r="B19" s="10" t="s">
        <v>24</v>
      </c>
    </row>
    <row r="20" customFormat="false" ht="35.05" hidden="false" customHeight="false" outlineLevel="0" collapsed="false">
      <c r="B20" s="11" t="s">
        <v>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12"/>
    <col collapsed="false" customWidth="true" hidden="false" outlineLevel="0" max="4" min="4" style="0" width="14"/>
    <col collapsed="false" customWidth="true" hidden="false" outlineLevel="0" max="5" min="5" style="0" width="12"/>
    <col collapsed="false" customWidth="true" hidden="false" outlineLevel="0" max="6" min="6" style="0" width="15"/>
    <col collapsed="false" customWidth="true" hidden="false" outlineLevel="0" max="7" min="7" style="0" width="16"/>
    <col collapsed="false" customWidth="true" hidden="false" outlineLevel="0" max="8" min="8" style="0" width="14"/>
  </cols>
  <sheetData>
    <row r="1" customFormat="false" ht="21.75" hidden="false" customHeight="true" outlineLevel="0" collapsed="false">
      <c r="A1" s="12" t="s">
        <v>26</v>
      </c>
      <c r="B1" s="12" t="s">
        <v>27</v>
      </c>
      <c r="C1" s="12" t="s">
        <v>28</v>
      </c>
      <c r="D1" s="12" t="s">
        <v>29</v>
      </c>
      <c r="E1" s="12" t="s">
        <v>30</v>
      </c>
      <c r="F1" s="12" t="s">
        <v>31</v>
      </c>
      <c r="G1" s="12" t="s">
        <v>32</v>
      </c>
      <c r="H1" s="12" t="s">
        <v>33</v>
      </c>
      <c r="I1" s="13" t="s">
        <v>34</v>
      </c>
    </row>
    <row r="2" customFormat="false" ht="15" hidden="false" customHeight="false" outlineLevel="0" collapsed="false">
      <c r="A2" s="14" t="n">
        <v>45658</v>
      </c>
      <c r="B2" s="15" t="s">
        <v>35</v>
      </c>
      <c r="C2" s="15" t="s">
        <v>36</v>
      </c>
      <c r="D2" s="16" t="n">
        <v>51700</v>
      </c>
      <c r="E2" s="15" t="n">
        <v>269</v>
      </c>
      <c r="F2" s="15" t="n">
        <v>20</v>
      </c>
      <c r="G2" s="16" t="n">
        <v>15260</v>
      </c>
      <c r="H2" s="17" t="n">
        <v>84.7</v>
      </c>
      <c r="I2" s="13" t="n">
        <f aca="false">RANK(D2,$D$2:$D$145)+COUNTIF($D$2:D2,D2)-1</f>
        <v>14</v>
      </c>
    </row>
    <row r="3" customFormat="false" ht="15" hidden="false" customHeight="false" outlineLevel="0" collapsed="false">
      <c r="A3" s="14" t="n">
        <v>45658</v>
      </c>
      <c r="B3" s="15" t="s">
        <v>35</v>
      </c>
      <c r="C3" s="15" t="s">
        <v>37</v>
      </c>
      <c r="D3" s="16" t="n">
        <v>34300</v>
      </c>
      <c r="E3" s="15" t="n">
        <v>186</v>
      </c>
      <c r="F3" s="15" t="n">
        <v>12</v>
      </c>
      <c r="G3" s="16" t="n">
        <v>10400</v>
      </c>
      <c r="H3" s="17" t="n">
        <v>82.7</v>
      </c>
      <c r="I3" s="13" t="n">
        <f aca="false">RANK(D3,$D$2:$D$145)+COUNTIF($D$2:D3,D3)-1</f>
        <v>61</v>
      </c>
    </row>
    <row r="4" customFormat="false" ht="15" hidden="false" customHeight="false" outlineLevel="0" collapsed="false">
      <c r="A4" s="14" t="n">
        <v>45658</v>
      </c>
      <c r="B4" s="15" t="s">
        <v>35</v>
      </c>
      <c r="C4" s="15" t="s">
        <v>38</v>
      </c>
      <c r="D4" s="16" t="n">
        <v>36600</v>
      </c>
      <c r="E4" s="15" t="n">
        <v>195</v>
      </c>
      <c r="F4" s="15" t="n">
        <v>12</v>
      </c>
      <c r="G4" s="16" t="n">
        <v>6840</v>
      </c>
      <c r="H4" s="17" t="n">
        <v>76.5</v>
      </c>
      <c r="I4" s="13" t="n">
        <f aca="false">RANK(D4,$D$2:$D$145)+COUNTIF($D$2:D4,D4)-1</f>
        <v>55</v>
      </c>
    </row>
    <row r="5" customFormat="false" ht="15" hidden="false" customHeight="false" outlineLevel="0" collapsed="false">
      <c r="A5" s="14" t="n">
        <v>45658</v>
      </c>
      <c r="B5" s="15" t="s">
        <v>39</v>
      </c>
      <c r="C5" s="15" t="s">
        <v>36</v>
      </c>
      <c r="D5" s="16" t="n">
        <v>37000</v>
      </c>
      <c r="E5" s="15" t="n">
        <v>161</v>
      </c>
      <c r="F5" s="15" t="n">
        <v>14</v>
      </c>
      <c r="G5" s="16" t="n">
        <v>7870</v>
      </c>
      <c r="H5" s="17" t="n">
        <v>81.9</v>
      </c>
      <c r="I5" s="13" t="n">
        <f aca="false">RANK(D5,$D$2:$D$145)+COUNTIF($D$2:D5,D5)-1</f>
        <v>51</v>
      </c>
    </row>
    <row r="6" customFormat="false" ht="15" hidden="false" customHeight="false" outlineLevel="0" collapsed="false">
      <c r="A6" s="14" t="n">
        <v>45658</v>
      </c>
      <c r="B6" s="15" t="s">
        <v>39</v>
      </c>
      <c r="C6" s="15" t="s">
        <v>37</v>
      </c>
      <c r="D6" s="16" t="n">
        <v>30100</v>
      </c>
      <c r="E6" s="15" t="n">
        <v>164</v>
      </c>
      <c r="F6" s="15" t="n">
        <v>14</v>
      </c>
      <c r="G6" s="16" t="n">
        <v>7610</v>
      </c>
      <c r="H6" s="17" t="n">
        <v>76.9</v>
      </c>
      <c r="I6" s="13" t="n">
        <f aca="false">RANK(D6,$D$2:$D$145)+COUNTIF($D$2:D6,D6)-1</f>
        <v>80</v>
      </c>
    </row>
    <row r="7" customFormat="false" ht="15" hidden="false" customHeight="false" outlineLevel="0" collapsed="false">
      <c r="A7" s="14" t="n">
        <v>45658</v>
      </c>
      <c r="B7" s="15" t="s">
        <v>39</v>
      </c>
      <c r="C7" s="15" t="s">
        <v>38</v>
      </c>
      <c r="D7" s="16" t="n">
        <v>27400</v>
      </c>
      <c r="E7" s="15" t="n">
        <v>134</v>
      </c>
      <c r="F7" s="15" t="n">
        <v>11</v>
      </c>
      <c r="G7" s="16" t="n">
        <v>7470</v>
      </c>
      <c r="H7" s="17" t="n">
        <v>85.6</v>
      </c>
      <c r="I7" s="13" t="n">
        <f aca="false">RANK(D7,$D$2:$D$145)+COUNTIF($D$2:D7,D7)-1</f>
        <v>87</v>
      </c>
    </row>
    <row r="8" customFormat="false" ht="15" hidden="false" customHeight="false" outlineLevel="0" collapsed="false">
      <c r="A8" s="14" t="n">
        <v>45658</v>
      </c>
      <c r="B8" s="15" t="s">
        <v>40</v>
      </c>
      <c r="C8" s="15" t="s">
        <v>36</v>
      </c>
      <c r="D8" s="16" t="n">
        <v>36600</v>
      </c>
      <c r="E8" s="15" t="n">
        <v>174</v>
      </c>
      <c r="F8" s="15" t="n">
        <v>12</v>
      </c>
      <c r="G8" s="16" t="n">
        <v>10880</v>
      </c>
      <c r="H8" s="17" t="n">
        <v>75.2</v>
      </c>
      <c r="I8" s="13" t="n">
        <f aca="false">RANK(D8,$D$2:$D$145)+COUNTIF($D$2:D8,D8)-1</f>
        <v>56</v>
      </c>
    </row>
    <row r="9" customFormat="false" ht="15" hidden="false" customHeight="false" outlineLevel="0" collapsed="false">
      <c r="A9" s="14" t="n">
        <v>45658</v>
      </c>
      <c r="B9" s="15" t="s">
        <v>40</v>
      </c>
      <c r="C9" s="15" t="s">
        <v>37</v>
      </c>
      <c r="D9" s="16" t="n">
        <v>20900</v>
      </c>
      <c r="E9" s="15" t="n">
        <v>89</v>
      </c>
      <c r="F9" s="15" t="n">
        <v>5</v>
      </c>
      <c r="G9" s="16" t="n">
        <v>5200</v>
      </c>
      <c r="H9" s="17" t="n">
        <v>85.7</v>
      </c>
      <c r="I9" s="13" t="n">
        <f aca="false">RANK(D9,$D$2:$D$145)+COUNTIF($D$2:D9,D9)-1</f>
        <v>114</v>
      </c>
    </row>
    <row r="10" customFormat="false" ht="15" hidden="false" customHeight="false" outlineLevel="0" collapsed="false">
      <c r="A10" s="14" t="n">
        <v>45658</v>
      </c>
      <c r="B10" s="15" t="s">
        <v>40</v>
      </c>
      <c r="C10" s="15" t="s">
        <v>38</v>
      </c>
      <c r="D10" s="16" t="n">
        <v>26600</v>
      </c>
      <c r="E10" s="15" t="n">
        <v>130</v>
      </c>
      <c r="F10" s="15" t="n">
        <v>10</v>
      </c>
      <c r="G10" s="16" t="n">
        <v>5300</v>
      </c>
      <c r="H10" s="17" t="n">
        <v>78.9</v>
      </c>
      <c r="I10" s="13" t="n">
        <f aca="false">RANK(D10,$D$2:$D$145)+COUNTIF($D$2:D10,D10)-1</f>
        <v>89</v>
      </c>
    </row>
    <row r="11" customFormat="false" ht="15" hidden="false" customHeight="false" outlineLevel="0" collapsed="false">
      <c r="A11" s="14" t="n">
        <v>45658</v>
      </c>
      <c r="B11" s="15" t="s">
        <v>41</v>
      </c>
      <c r="C11" s="15" t="s">
        <v>36</v>
      </c>
      <c r="D11" s="16" t="n">
        <v>19900</v>
      </c>
      <c r="E11" s="15" t="n">
        <v>90</v>
      </c>
      <c r="F11" s="15" t="n">
        <v>8</v>
      </c>
      <c r="G11" s="16" t="n">
        <v>3900</v>
      </c>
      <c r="H11" s="17" t="n">
        <v>79.8</v>
      </c>
      <c r="I11" s="13" t="n">
        <f aca="false">RANK(D11,$D$2:$D$145)+COUNTIF($D$2:D11,D11)-1</f>
        <v>117</v>
      </c>
    </row>
    <row r="12" customFormat="false" ht="15" hidden="false" customHeight="false" outlineLevel="0" collapsed="false">
      <c r="A12" s="14" t="n">
        <v>45658</v>
      </c>
      <c r="B12" s="15" t="s">
        <v>41</v>
      </c>
      <c r="C12" s="15" t="s">
        <v>37</v>
      </c>
      <c r="D12" s="16" t="n">
        <v>14600</v>
      </c>
      <c r="E12" s="15" t="n">
        <v>77</v>
      </c>
      <c r="F12" s="15" t="n">
        <v>5</v>
      </c>
      <c r="G12" s="16" t="n">
        <v>2820</v>
      </c>
      <c r="H12" s="17" t="n">
        <v>77</v>
      </c>
      <c r="I12" s="13" t="n">
        <f aca="false">RANK(D12,$D$2:$D$145)+COUNTIF($D$2:D12,D12)-1</f>
        <v>136</v>
      </c>
    </row>
    <row r="13" customFormat="false" ht="15" hidden="false" customHeight="false" outlineLevel="0" collapsed="false">
      <c r="A13" s="14" t="n">
        <v>45658</v>
      </c>
      <c r="B13" s="15" t="s">
        <v>41</v>
      </c>
      <c r="C13" s="15" t="s">
        <v>38</v>
      </c>
      <c r="D13" s="16" t="n">
        <v>15000</v>
      </c>
      <c r="E13" s="15" t="n">
        <v>82</v>
      </c>
      <c r="F13" s="15" t="n">
        <v>6</v>
      </c>
      <c r="G13" s="16" t="n">
        <v>2890</v>
      </c>
      <c r="H13" s="17" t="n">
        <v>85.5</v>
      </c>
      <c r="I13" s="13" t="n">
        <f aca="false">RANK(D13,$D$2:$D$145)+COUNTIF($D$2:D13,D13)-1</f>
        <v>132</v>
      </c>
    </row>
    <row r="14" customFormat="false" ht="15" hidden="false" customHeight="false" outlineLevel="0" collapsed="false">
      <c r="A14" s="14" t="n">
        <v>45689</v>
      </c>
      <c r="B14" s="15" t="s">
        <v>35</v>
      </c>
      <c r="C14" s="15" t="s">
        <v>36</v>
      </c>
      <c r="D14" s="16" t="n">
        <v>61800</v>
      </c>
      <c r="E14" s="15" t="n">
        <v>301</v>
      </c>
      <c r="F14" s="15" t="n">
        <v>23</v>
      </c>
      <c r="G14" s="16" t="n">
        <v>13020</v>
      </c>
      <c r="H14" s="17" t="n">
        <v>85.6</v>
      </c>
      <c r="I14" s="13" t="n">
        <f aca="false">RANK(D14,$D$2:$D$145)+COUNTIF($D$2:D14,D14)-1</f>
        <v>3</v>
      </c>
    </row>
    <row r="15" customFormat="false" ht="15" hidden="false" customHeight="false" outlineLevel="0" collapsed="false">
      <c r="A15" s="14" t="n">
        <v>45689</v>
      </c>
      <c r="B15" s="15" t="s">
        <v>35</v>
      </c>
      <c r="C15" s="15" t="s">
        <v>37</v>
      </c>
      <c r="D15" s="16" t="n">
        <v>35900</v>
      </c>
      <c r="E15" s="15" t="n">
        <v>145</v>
      </c>
      <c r="F15" s="15" t="n">
        <v>13</v>
      </c>
      <c r="G15" s="16" t="n">
        <v>8100</v>
      </c>
      <c r="H15" s="17" t="n">
        <v>87.3</v>
      </c>
      <c r="I15" s="13" t="n">
        <f aca="false">RANK(D15,$D$2:$D$145)+COUNTIF($D$2:D15,D15)-1</f>
        <v>59</v>
      </c>
    </row>
    <row r="16" customFormat="false" ht="15" hidden="false" customHeight="false" outlineLevel="0" collapsed="false">
      <c r="A16" s="14" t="n">
        <v>45689</v>
      </c>
      <c r="B16" s="15" t="s">
        <v>35</v>
      </c>
      <c r="C16" s="15" t="s">
        <v>38</v>
      </c>
      <c r="D16" s="16" t="n">
        <v>37100</v>
      </c>
      <c r="E16" s="15" t="n">
        <v>157</v>
      </c>
      <c r="F16" s="15" t="n">
        <v>11</v>
      </c>
      <c r="G16" s="16" t="n">
        <v>6420</v>
      </c>
      <c r="H16" s="17" t="n">
        <v>90.4</v>
      </c>
      <c r="I16" s="13" t="n">
        <f aca="false">RANK(D16,$D$2:$D$145)+COUNTIF($D$2:D16,D16)-1</f>
        <v>50</v>
      </c>
    </row>
    <row r="17" customFormat="false" ht="15" hidden="false" customHeight="false" outlineLevel="0" collapsed="false">
      <c r="A17" s="14" t="n">
        <v>45689</v>
      </c>
      <c r="B17" s="15" t="s">
        <v>39</v>
      </c>
      <c r="C17" s="15" t="s">
        <v>36</v>
      </c>
      <c r="D17" s="16" t="n">
        <v>38400</v>
      </c>
      <c r="E17" s="15" t="n">
        <v>182</v>
      </c>
      <c r="F17" s="15" t="n">
        <v>13</v>
      </c>
      <c r="G17" s="16" t="n">
        <v>11780</v>
      </c>
      <c r="H17" s="17" t="n">
        <v>83.2</v>
      </c>
      <c r="I17" s="13" t="n">
        <f aca="false">RANK(D17,$D$2:$D$145)+COUNTIF($D$2:D17,D17)-1</f>
        <v>46</v>
      </c>
    </row>
    <row r="18" customFormat="false" ht="15" hidden="false" customHeight="false" outlineLevel="0" collapsed="false">
      <c r="A18" s="14" t="n">
        <v>45689</v>
      </c>
      <c r="B18" s="15" t="s">
        <v>39</v>
      </c>
      <c r="C18" s="15" t="s">
        <v>37</v>
      </c>
      <c r="D18" s="16" t="n">
        <v>24200</v>
      </c>
      <c r="E18" s="15" t="n">
        <v>128</v>
      </c>
      <c r="F18" s="15" t="n">
        <v>5</v>
      </c>
      <c r="G18" s="16" t="n">
        <v>4660</v>
      </c>
      <c r="H18" s="17" t="n">
        <v>76.6</v>
      </c>
      <c r="I18" s="13" t="n">
        <f aca="false">RANK(D18,$D$2:$D$145)+COUNTIF($D$2:D18,D18)-1</f>
        <v>103</v>
      </c>
    </row>
    <row r="19" customFormat="false" ht="15" hidden="false" customHeight="false" outlineLevel="0" collapsed="false">
      <c r="A19" s="14" t="n">
        <v>45689</v>
      </c>
      <c r="B19" s="15" t="s">
        <v>39</v>
      </c>
      <c r="C19" s="15" t="s">
        <v>38</v>
      </c>
      <c r="D19" s="16" t="n">
        <v>29200</v>
      </c>
      <c r="E19" s="15" t="n">
        <v>138</v>
      </c>
      <c r="F19" s="15" t="n">
        <v>12</v>
      </c>
      <c r="G19" s="16" t="n">
        <v>8560</v>
      </c>
      <c r="H19" s="17" t="n">
        <v>83</v>
      </c>
      <c r="I19" s="13" t="n">
        <f aca="false">RANK(D19,$D$2:$D$145)+COUNTIF($D$2:D19,D19)-1</f>
        <v>83</v>
      </c>
    </row>
    <row r="20" customFormat="false" ht="15" hidden="false" customHeight="false" outlineLevel="0" collapsed="false">
      <c r="A20" s="14" t="n">
        <v>45689</v>
      </c>
      <c r="B20" s="15" t="s">
        <v>40</v>
      </c>
      <c r="C20" s="15" t="s">
        <v>36</v>
      </c>
      <c r="D20" s="16" t="n">
        <v>36300</v>
      </c>
      <c r="E20" s="15" t="n">
        <v>145</v>
      </c>
      <c r="F20" s="15" t="n">
        <v>12</v>
      </c>
      <c r="G20" s="16" t="n">
        <v>6670</v>
      </c>
      <c r="H20" s="17" t="n">
        <v>79.6</v>
      </c>
      <c r="I20" s="13" t="n">
        <f aca="false">RANK(D20,$D$2:$D$145)+COUNTIF($D$2:D20,D20)-1</f>
        <v>57</v>
      </c>
    </row>
    <row r="21" customFormat="false" ht="15" hidden="false" customHeight="false" outlineLevel="0" collapsed="false">
      <c r="A21" s="14" t="n">
        <v>45689</v>
      </c>
      <c r="B21" s="15" t="s">
        <v>40</v>
      </c>
      <c r="C21" s="15" t="s">
        <v>37</v>
      </c>
      <c r="D21" s="16" t="n">
        <v>22800</v>
      </c>
      <c r="E21" s="15" t="n">
        <v>109</v>
      </c>
      <c r="F21" s="15" t="n">
        <v>9</v>
      </c>
      <c r="G21" s="16" t="n">
        <v>4010</v>
      </c>
      <c r="H21" s="17" t="n">
        <v>77</v>
      </c>
      <c r="I21" s="13" t="n">
        <f aca="false">RANK(D21,$D$2:$D$145)+COUNTIF($D$2:D21,D21)-1</f>
        <v>109</v>
      </c>
    </row>
    <row r="22" customFormat="false" ht="15" hidden="false" customHeight="false" outlineLevel="0" collapsed="false">
      <c r="A22" s="14" t="n">
        <v>45689</v>
      </c>
      <c r="B22" s="15" t="s">
        <v>40</v>
      </c>
      <c r="C22" s="15" t="s">
        <v>38</v>
      </c>
      <c r="D22" s="16" t="n">
        <v>24800</v>
      </c>
      <c r="E22" s="15" t="n">
        <v>125</v>
      </c>
      <c r="F22" s="15" t="n">
        <v>6</v>
      </c>
      <c r="G22" s="16" t="n">
        <v>5560</v>
      </c>
      <c r="H22" s="17" t="n">
        <v>85.8</v>
      </c>
      <c r="I22" s="13" t="n">
        <f aca="false">RANK(D22,$D$2:$D$145)+COUNTIF($D$2:D22,D22)-1</f>
        <v>101</v>
      </c>
    </row>
    <row r="23" customFormat="false" ht="15" hidden="false" customHeight="false" outlineLevel="0" collapsed="false">
      <c r="A23" s="14" t="n">
        <v>45689</v>
      </c>
      <c r="B23" s="15" t="s">
        <v>41</v>
      </c>
      <c r="C23" s="15" t="s">
        <v>36</v>
      </c>
      <c r="D23" s="16" t="n">
        <v>18400</v>
      </c>
      <c r="E23" s="15" t="n">
        <v>102</v>
      </c>
      <c r="F23" s="15" t="n">
        <v>6</v>
      </c>
      <c r="G23" s="16" t="n">
        <v>4420</v>
      </c>
      <c r="H23" s="17" t="n">
        <v>85.3</v>
      </c>
      <c r="I23" s="13" t="n">
        <f aca="false">RANK(D23,$D$2:$D$145)+COUNTIF($D$2:D23,D23)-1</f>
        <v>122</v>
      </c>
    </row>
    <row r="24" customFormat="false" ht="15" hidden="false" customHeight="false" outlineLevel="0" collapsed="false">
      <c r="A24" s="14" t="n">
        <v>45689</v>
      </c>
      <c r="B24" s="15" t="s">
        <v>41</v>
      </c>
      <c r="C24" s="15" t="s">
        <v>37</v>
      </c>
      <c r="D24" s="16" t="n">
        <v>14700</v>
      </c>
      <c r="E24" s="15" t="n">
        <v>62</v>
      </c>
      <c r="F24" s="15" t="n">
        <v>4</v>
      </c>
      <c r="G24" s="16" t="n">
        <v>3060</v>
      </c>
      <c r="H24" s="17" t="n">
        <v>87.5</v>
      </c>
      <c r="I24" s="13" t="n">
        <f aca="false">RANK(D24,$D$2:$D$145)+COUNTIF($D$2:D24,D24)-1</f>
        <v>134</v>
      </c>
    </row>
    <row r="25" customFormat="false" ht="15" hidden="false" customHeight="false" outlineLevel="0" collapsed="false">
      <c r="A25" s="14" t="n">
        <v>45689</v>
      </c>
      <c r="B25" s="15" t="s">
        <v>41</v>
      </c>
      <c r="C25" s="15" t="s">
        <v>38</v>
      </c>
      <c r="D25" s="16" t="n">
        <v>13200</v>
      </c>
      <c r="E25" s="15" t="n">
        <v>52</v>
      </c>
      <c r="F25" s="15" t="n">
        <v>4</v>
      </c>
      <c r="G25" s="16" t="n">
        <v>2410</v>
      </c>
      <c r="H25" s="17" t="n">
        <v>90</v>
      </c>
      <c r="I25" s="13" t="n">
        <f aca="false">RANK(D25,$D$2:$D$145)+COUNTIF($D$2:D25,D25)-1</f>
        <v>143</v>
      </c>
    </row>
    <row r="26" customFormat="false" ht="15" hidden="false" customHeight="false" outlineLevel="0" collapsed="false">
      <c r="A26" s="14" t="n">
        <v>45717</v>
      </c>
      <c r="B26" s="15" t="s">
        <v>35</v>
      </c>
      <c r="C26" s="15" t="s">
        <v>36</v>
      </c>
      <c r="D26" s="16" t="n">
        <v>54700</v>
      </c>
      <c r="E26" s="15" t="n">
        <v>258</v>
      </c>
      <c r="F26" s="15" t="n">
        <v>12</v>
      </c>
      <c r="G26" s="16" t="n">
        <v>11280</v>
      </c>
      <c r="H26" s="17" t="n">
        <v>75.2</v>
      </c>
      <c r="I26" s="13" t="n">
        <f aca="false">RANK(D26,$D$2:$D$145)+COUNTIF($D$2:D26,D26)-1</f>
        <v>7</v>
      </c>
    </row>
    <row r="27" customFormat="false" ht="15" hidden="false" customHeight="false" outlineLevel="0" collapsed="false">
      <c r="A27" s="14" t="n">
        <v>45717</v>
      </c>
      <c r="B27" s="15" t="s">
        <v>35</v>
      </c>
      <c r="C27" s="15" t="s">
        <v>37</v>
      </c>
      <c r="D27" s="16" t="n">
        <v>32200</v>
      </c>
      <c r="E27" s="15" t="n">
        <v>164</v>
      </c>
      <c r="F27" s="15" t="n">
        <v>8</v>
      </c>
      <c r="G27" s="16" t="n">
        <v>7880</v>
      </c>
      <c r="H27" s="17" t="n">
        <v>75.1</v>
      </c>
      <c r="I27" s="13" t="n">
        <f aca="false">RANK(D27,$D$2:$D$145)+COUNTIF($D$2:D27,D27)-1</f>
        <v>71</v>
      </c>
    </row>
    <row r="28" customFormat="false" ht="15" hidden="false" customHeight="false" outlineLevel="0" collapsed="false">
      <c r="A28" s="14" t="n">
        <v>45717</v>
      </c>
      <c r="B28" s="15" t="s">
        <v>35</v>
      </c>
      <c r="C28" s="15" t="s">
        <v>38</v>
      </c>
      <c r="D28" s="16" t="n">
        <v>37000</v>
      </c>
      <c r="E28" s="15" t="n">
        <v>193</v>
      </c>
      <c r="F28" s="15" t="n">
        <v>9</v>
      </c>
      <c r="G28" s="16" t="n">
        <v>8930</v>
      </c>
      <c r="H28" s="17" t="n">
        <v>74.5</v>
      </c>
      <c r="I28" s="13" t="n">
        <f aca="false">RANK(D28,$D$2:$D$145)+COUNTIF($D$2:D28,D28)-1</f>
        <v>52</v>
      </c>
    </row>
    <row r="29" customFormat="false" ht="15" hidden="false" customHeight="false" outlineLevel="0" collapsed="false">
      <c r="A29" s="14" t="n">
        <v>45717</v>
      </c>
      <c r="B29" s="15" t="s">
        <v>39</v>
      </c>
      <c r="C29" s="15" t="s">
        <v>36</v>
      </c>
      <c r="D29" s="16" t="n">
        <v>46400</v>
      </c>
      <c r="E29" s="15" t="n">
        <v>203</v>
      </c>
      <c r="F29" s="15" t="n">
        <v>10</v>
      </c>
      <c r="G29" s="16" t="n">
        <v>12030</v>
      </c>
      <c r="H29" s="17" t="n">
        <v>80.9</v>
      </c>
      <c r="I29" s="13" t="n">
        <f aca="false">RANK(D29,$D$2:$D$145)+COUNTIF($D$2:D29,D29)-1</f>
        <v>22</v>
      </c>
    </row>
    <row r="30" customFormat="false" ht="15" hidden="false" customHeight="false" outlineLevel="0" collapsed="false">
      <c r="A30" s="14" t="n">
        <v>45717</v>
      </c>
      <c r="B30" s="15" t="s">
        <v>39</v>
      </c>
      <c r="C30" s="15" t="s">
        <v>37</v>
      </c>
      <c r="D30" s="16" t="n">
        <v>26200</v>
      </c>
      <c r="E30" s="15" t="n">
        <v>138</v>
      </c>
      <c r="F30" s="15" t="n">
        <v>11</v>
      </c>
      <c r="G30" s="16" t="n">
        <v>4530</v>
      </c>
      <c r="H30" s="17" t="n">
        <v>83.3</v>
      </c>
      <c r="I30" s="13" t="n">
        <f aca="false">RANK(D30,$D$2:$D$145)+COUNTIF($D$2:D30,D30)-1</f>
        <v>94</v>
      </c>
    </row>
    <row r="31" customFormat="false" ht="15" hidden="false" customHeight="false" outlineLevel="0" collapsed="false">
      <c r="A31" s="14" t="n">
        <v>45717</v>
      </c>
      <c r="B31" s="15" t="s">
        <v>39</v>
      </c>
      <c r="C31" s="15" t="s">
        <v>38</v>
      </c>
      <c r="D31" s="16" t="n">
        <v>32000</v>
      </c>
      <c r="E31" s="15" t="n">
        <v>171</v>
      </c>
      <c r="F31" s="15" t="n">
        <v>8</v>
      </c>
      <c r="G31" s="16" t="n">
        <v>7820</v>
      </c>
      <c r="H31" s="17" t="n">
        <v>79.3</v>
      </c>
      <c r="I31" s="13" t="n">
        <f aca="false">RANK(D31,$D$2:$D$145)+COUNTIF($D$2:D31,D31)-1</f>
        <v>72</v>
      </c>
    </row>
    <row r="32" customFormat="false" ht="15" hidden="false" customHeight="false" outlineLevel="0" collapsed="false">
      <c r="A32" s="14" t="n">
        <v>45717</v>
      </c>
      <c r="B32" s="15" t="s">
        <v>40</v>
      </c>
      <c r="C32" s="15" t="s">
        <v>36</v>
      </c>
      <c r="D32" s="16" t="n">
        <v>40000</v>
      </c>
      <c r="E32" s="15" t="n">
        <v>207</v>
      </c>
      <c r="F32" s="15" t="n">
        <v>9</v>
      </c>
      <c r="G32" s="16" t="n">
        <v>7050</v>
      </c>
      <c r="H32" s="17" t="n">
        <v>84.6</v>
      </c>
      <c r="I32" s="13" t="n">
        <f aca="false">RANK(D32,$D$2:$D$145)+COUNTIF($D$2:D32,D32)-1</f>
        <v>40</v>
      </c>
    </row>
    <row r="33" customFormat="false" ht="15" hidden="false" customHeight="false" outlineLevel="0" collapsed="false">
      <c r="A33" s="14" t="n">
        <v>45717</v>
      </c>
      <c r="B33" s="15" t="s">
        <v>40</v>
      </c>
      <c r="C33" s="15" t="s">
        <v>37</v>
      </c>
      <c r="D33" s="16" t="n">
        <v>21300</v>
      </c>
      <c r="E33" s="15" t="n">
        <v>95</v>
      </c>
      <c r="F33" s="15" t="n">
        <v>4</v>
      </c>
      <c r="G33" s="16" t="n">
        <v>4660</v>
      </c>
      <c r="H33" s="17" t="n">
        <v>93.6</v>
      </c>
      <c r="I33" s="13" t="n">
        <f aca="false">RANK(D33,$D$2:$D$145)+COUNTIF($D$2:D33,D33)-1</f>
        <v>113</v>
      </c>
    </row>
    <row r="34" customFormat="false" ht="15" hidden="false" customHeight="false" outlineLevel="0" collapsed="false">
      <c r="A34" s="14" t="n">
        <v>45717</v>
      </c>
      <c r="B34" s="15" t="s">
        <v>40</v>
      </c>
      <c r="C34" s="15" t="s">
        <v>38</v>
      </c>
      <c r="D34" s="16" t="n">
        <v>31000</v>
      </c>
      <c r="E34" s="15" t="n">
        <v>132</v>
      </c>
      <c r="F34" s="15" t="n">
        <v>7</v>
      </c>
      <c r="G34" s="16" t="n">
        <v>7460</v>
      </c>
      <c r="H34" s="17" t="n">
        <v>77.3</v>
      </c>
      <c r="I34" s="13" t="n">
        <f aca="false">RANK(D34,$D$2:$D$145)+COUNTIF($D$2:D34,D34)-1</f>
        <v>76</v>
      </c>
    </row>
    <row r="35" customFormat="false" ht="15" hidden="false" customHeight="false" outlineLevel="0" collapsed="false">
      <c r="A35" s="14" t="n">
        <v>45717</v>
      </c>
      <c r="B35" s="15" t="s">
        <v>41</v>
      </c>
      <c r="C35" s="15" t="s">
        <v>36</v>
      </c>
      <c r="D35" s="16" t="n">
        <v>21900</v>
      </c>
      <c r="E35" s="15" t="n">
        <v>98</v>
      </c>
      <c r="F35" s="15" t="n">
        <v>8</v>
      </c>
      <c r="G35" s="16" t="n">
        <v>5400</v>
      </c>
      <c r="H35" s="17" t="n">
        <v>78.5</v>
      </c>
      <c r="I35" s="13" t="n">
        <f aca="false">RANK(D35,$D$2:$D$145)+COUNTIF($D$2:D35,D35)-1</f>
        <v>111</v>
      </c>
    </row>
    <row r="36" customFormat="false" ht="15" hidden="false" customHeight="false" outlineLevel="0" collapsed="false">
      <c r="A36" s="14" t="n">
        <v>45717</v>
      </c>
      <c r="B36" s="15" t="s">
        <v>41</v>
      </c>
      <c r="C36" s="15" t="s">
        <v>37</v>
      </c>
      <c r="D36" s="16" t="n">
        <v>14400</v>
      </c>
      <c r="E36" s="15" t="n">
        <v>56</v>
      </c>
      <c r="F36" s="15" t="n">
        <v>5</v>
      </c>
      <c r="G36" s="16" t="n">
        <v>2720</v>
      </c>
      <c r="H36" s="17" t="n">
        <v>90.4</v>
      </c>
      <c r="I36" s="13" t="n">
        <f aca="false">RANK(D36,$D$2:$D$145)+COUNTIF($D$2:D36,D36)-1</f>
        <v>139</v>
      </c>
    </row>
    <row r="37" customFormat="false" ht="15" hidden="false" customHeight="false" outlineLevel="0" collapsed="false">
      <c r="A37" s="14" t="n">
        <v>45717</v>
      </c>
      <c r="B37" s="15" t="s">
        <v>41</v>
      </c>
      <c r="C37" s="15" t="s">
        <v>38</v>
      </c>
      <c r="D37" s="16" t="n">
        <v>16700</v>
      </c>
      <c r="E37" s="15" t="n">
        <v>84</v>
      </c>
      <c r="F37" s="15" t="n">
        <v>6</v>
      </c>
      <c r="G37" s="16" t="n">
        <v>4050</v>
      </c>
      <c r="H37" s="17" t="n">
        <v>74.6</v>
      </c>
      <c r="I37" s="13" t="n">
        <f aca="false">RANK(D37,$D$2:$D$145)+COUNTIF($D$2:D37,D37)-1</f>
        <v>127</v>
      </c>
    </row>
    <row r="38" customFormat="false" ht="15" hidden="false" customHeight="false" outlineLevel="0" collapsed="false">
      <c r="A38" s="14" t="n">
        <v>45748</v>
      </c>
      <c r="B38" s="15" t="s">
        <v>35</v>
      </c>
      <c r="C38" s="15" t="s">
        <v>36</v>
      </c>
      <c r="D38" s="16" t="n">
        <v>49400</v>
      </c>
      <c r="E38" s="15" t="n">
        <v>244</v>
      </c>
      <c r="F38" s="15" t="n">
        <v>13</v>
      </c>
      <c r="G38" s="16" t="n">
        <v>9880</v>
      </c>
      <c r="H38" s="17" t="n">
        <v>93.1</v>
      </c>
      <c r="I38" s="13" t="n">
        <f aca="false">RANK(D38,$D$2:$D$145)+COUNTIF($D$2:D38,D38)-1</f>
        <v>17</v>
      </c>
    </row>
    <row r="39" customFormat="false" ht="15" hidden="false" customHeight="false" outlineLevel="0" collapsed="false">
      <c r="A39" s="14" t="n">
        <v>45748</v>
      </c>
      <c r="B39" s="15" t="s">
        <v>35</v>
      </c>
      <c r="C39" s="15" t="s">
        <v>37</v>
      </c>
      <c r="D39" s="16" t="n">
        <v>37000</v>
      </c>
      <c r="E39" s="15" t="n">
        <v>145</v>
      </c>
      <c r="F39" s="15" t="n">
        <v>13</v>
      </c>
      <c r="G39" s="16" t="n">
        <v>6510</v>
      </c>
      <c r="H39" s="17" t="n">
        <v>81.3</v>
      </c>
      <c r="I39" s="13" t="n">
        <f aca="false">RANK(D39,$D$2:$D$145)+COUNTIF($D$2:D39,D39)-1</f>
        <v>53</v>
      </c>
    </row>
    <row r="40" customFormat="false" ht="15" hidden="false" customHeight="false" outlineLevel="0" collapsed="false">
      <c r="A40" s="14" t="n">
        <v>45748</v>
      </c>
      <c r="B40" s="15" t="s">
        <v>35</v>
      </c>
      <c r="C40" s="15" t="s">
        <v>38</v>
      </c>
      <c r="D40" s="16" t="n">
        <v>40600</v>
      </c>
      <c r="E40" s="15" t="n">
        <v>205</v>
      </c>
      <c r="F40" s="15" t="n">
        <v>10</v>
      </c>
      <c r="G40" s="16" t="n">
        <v>10880</v>
      </c>
      <c r="H40" s="17" t="n">
        <v>86.5</v>
      </c>
      <c r="I40" s="13" t="n">
        <f aca="false">RANK(D40,$D$2:$D$145)+COUNTIF($D$2:D40,D40)-1</f>
        <v>37</v>
      </c>
    </row>
    <row r="41" customFormat="false" ht="15" hidden="false" customHeight="false" outlineLevel="0" collapsed="false">
      <c r="A41" s="14" t="n">
        <v>45748</v>
      </c>
      <c r="B41" s="15" t="s">
        <v>39</v>
      </c>
      <c r="C41" s="15" t="s">
        <v>36</v>
      </c>
      <c r="D41" s="16" t="n">
        <v>47600</v>
      </c>
      <c r="E41" s="15" t="n">
        <v>193</v>
      </c>
      <c r="F41" s="15" t="n">
        <v>12</v>
      </c>
      <c r="G41" s="16" t="n">
        <v>9720</v>
      </c>
      <c r="H41" s="17" t="n">
        <v>90</v>
      </c>
      <c r="I41" s="13" t="n">
        <f aca="false">RANK(D41,$D$2:$D$145)+COUNTIF($D$2:D41,D41)-1</f>
        <v>21</v>
      </c>
    </row>
    <row r="42" customFormat="false" ht="15" hidden="false" customHeight="false" outlineLevel="0" collapsed="false">
      <c r="A42" s="14" t="n">
        <v>45748</v>
      </c>
      <c r="B42" s="15" t="s">
        <v>39</v>
      </c>
      <c r="C42" s="15" t="s">
        <v>37</v>
      </c>
      <c r="D42" s="16" t="n">
        <v>24300</v>
      </c>
      <c r="E42" s="15" t="n">
        <v>104</v>
      </c>
      <c r="F42" s="15" t="n">
        <v>9</v>
      </c>
      <c r="G42" s="16" t="n">
        <v>4640</v>
      </c>
      <c r="H42" s="17" t="n">
        <v>89</v>
      </c>
      <c r="I42" s="13" t="n">
        <f aca="false">RANK(D42,$D$2:$D$145)+COUNTIF($D$2:D42,D42)-1</f>
        <v>102</v>
      </c>
    </row>
    <row r="43" customFormat="false" ht="15" hidden="false" customHeight="false" outlineLevel="0" collapsed="false">
      <c r="A43" s="14" t="n">
        <v>45748</v>
      </c>
      <c r="B43" s="15" t="s">
        <v>39</v>
      </c>
      <c r="C43" s="15" t="s">
        <v>38</v>
      </c>
      <c r="D43" s="16" t="n">
        <v>32500</v>
      </c>
      <c r="E43" s="15" t="n">
        <v>167</v>
      </c>
      <c r="F43" s="15" t="n">
        <v>13</v>
      </c>
      <c r="G43" s="16" t="n">
        <v>8000</v>
      </c>
      <c r="H43" s="17" t="n">
        <v>90</v>
      </c>
      <c r="I43" s="13" t="n">
        <f aca="false">RANK(D43,$D$2:$D$145)+COUNTIF($D$2:D43,D43)-1</f>
        <v>69</v>
      </c>
    </row>
    <row r="44" customFormat="false" ht="15" hidden="false" customHeight="false" outlineLevel="0" collapsed="false">
      <c r="A44" s="14" t="n">
        <v>45748</v>
      </c>
      <c r="B44" s="15" t="s">
        <v>40</v>
      </c>
      <c r="C44" s="15" t="s">
        <v>36</v>
      </c>
      <c r="D44" s="16" t="n">
        <v>42200</v>
      </c>
      <c r="E44" s="15" t="n">
        <v>199</v>
      </c>
      <c r="F44" s="15" t="n">
        <v>12</v>
      </c>
      <c r="G44" s="16" t="n">
        <v>7450</v>
      </c>
      <c r="H44" s="17" t="n">
        <v>88.5</v>
      </c>
      <c r="I44" s="13" t="n">
        <f aca="false">RANK(D44,$D$2:$D$145)+COUNTIF($D$2:D44,D44)-1</f>
        <v>30</v>
      </c>
    </row>
    <row r="45" customFormat="false" ht="15" hidden="false" customHeight="false" outlineLevel="0" collapsed="false">
      <c r="A45" s="14" t="n">
        <v>45748</v>
      </c>
      <c r="B45" s="15" t="s">
        <v>40</v>
      </c>
      <c r="C45" s="15" t="s">
        <v>37</v>
      </c>
      <c r="D45" s="16" t="n">
        <v>21800</v>
      </c>
      <c r="E45" s="15" t="n">
        <v>115</v>
      </c>
      <c r="F45" s="15" t="n">
        <v>5</v>
      </c>
      <c r="G45" s="16" t="n">
        <v>3930</v>
      </c>
      <c r="H45" s="17" t="n">
        <v>90.1</v>
      </c>
      <c r="I45" s="13" t="n">
        <f aca="false">RANK(D45,$D$2:$D$145)+COUNTIF($D$2:D45,D45)-1</f>
        <v>112</v>
      </c>
    </row>
    <row r="46" customFormat="false" ht="15" hidden="false" customHeight="false" outlineLevel="0" collapsed="false">
      <c r="A46" s="14" t="n">
        <v>45748</v>
      </c>
      <c r="B46" s="15" t="s">
        <v>40</v>
      </c>
      <c r="C46" s="15" t="s">
        <v>38</v>
      </c>
      <c r="D46" s="16" t="n">
        <v>25400</v>
      </c>
      <c r="E46" s="15" t="n">
        <v>103</v>
      </c>
      <c r="F46" s="15" t="n">
        <v>9</v>
      </c>
      <c r="G46" s="16" t="n">
        <v>5170</v>
      </c>
      <c r="H46" s="17" t="n">
        <v>81</v>
      </c>
      <c r="I46" s="13" t="n">
        <f aca="false">RANK(D46,$D$2:$D$145)+COUNTIF($D$2:D46,D46)-1</f>
        <v>98</v>
      </c>
    </row>
    <row r="47" customFormat="false" ht="15" hidden="false" customHeight="false" outlineLevel="0" collapsed="false">
      <c r="A47" s="14" t="n">
        <v>45748</v>
      </c>
      <c r="B47" s="15" t="s">
        <v>41</v>
      </c>
      <c r="C47" s="15" t="s">
        <v>36</v>
      </c>
      <c r="D47" s="16" t="n">
        <v>20900</v>
      </c>
      <c r="E47" s="15" t="n">
        <v>110</v>
      </c>
      <c r="F47" s="15" t="n">
        <v>4</v>
      </c>
      <c r="G47" s="16" t="n">
        <v>3650</v>
      </c>
      <c r="H47" s="17" t="n">
        <v>87</v>
      </c>
      <c r="I47" s="13" t="n">
        <f aca="false">RANK(D47,$D$2:$D$145)+COUNTIF($D$2:D47,D47)-1</f>
        <v>115</v>
      </c>
    </row>
    <row r="48" customFormat="false" ht="15" hidden="false" customHeight="false" outlineLevel="0" collapsed="false">
      <c r="A48" s="14" t="n">
        <v>45748</v>
      </c>
      <c r="B48" s="15" t="s">
        <v>41</v>
      </c>
      <c r="C48" s="15" t="s">
        <v>37</v>
      </c>
      <c r="D48" s="16" t="n">
        <v>13500</v>
      </c>
      <c r="E48" s="15" t="n">
        <v>53</v>
      </c>
      <c r="F48" s="15" t="n">
        <v>3</v>
      </c>
      <c r="G48" s="16" t="n">
        <v>2470</v>
      </c>
      <c r="H48" s="17" t="n">
        <v>90.5</v>
      </c>
      <c r="I48" s="13" t="n">
        <f aca="false">RANK(D48,$D$2:$D$145)+COUNTIF($D$2:D48,D48)-1</f>
        <v>142</v>
      </c>
    </row>
    <row r="49" customFormat="false" ht="15" hidden="false" customHeight="false" outlineLevel="0" collapsed="false">
      <c r="A49" s="14" t="n">
        <v>45748</v>
      </c>
      <c r="B49" s="15" t="s">
        <v>41</v>
      </c>
      <c r="C49" s="15" t="s">
        <v>38</v>
      </c>
      <c r="D49" s="16" t="n">
        <v>14400</v>
      </c>
      <c r="E49" s="15" t="n">
        <v>72</v>
      </c>
      <c r="F49" s="15" t="n">
        <v>4</v>
      </c>
      <c r="G49" s="16" t="n">
        <v>3760</v>
      </c>
      <c r="H49" s="17" t="n">
        <v>85.7</v>
      </c>
      <c r="I49" s="13" t="n">
        <f aca="false">RANK(D49,$D$2:$D$145)+COUNTIF($D$2:D49,D49)-1</f>
        <v>140</v>
      </c>
    </row>
    <row r="50" customFormat="false" ht="15" hidden="false" customHeight="false" outlineLevel="0" collapsed="false">
      <c r="A50" s="14" t="n">
        <v>45778</v>
      </c>
      <c r="B50" s="15" t="s">
        <v>35</v>
      </c>
      <c r="C50" s="15" t="s">
        <v>36</v>
      </c>
      <c r="D50" s="16" t="n">
        <v>54300</v>
      </c>
      <c r="E50" s="15" t="n">
        <v>254</v>
      </c>
      <c r="F50" s="15" t="n">
        <v>12</v>
      </c>
      <c r="G50" s="16" t="n">
        <v>9760</v>
      </c>
      <c r="H50" s="17" t="n">
        <v>81.1</v>
      </c>
      <c r="I50" s="13" t="n">
        <f aca="false">RANK(D50,$D$2:$D$145)+COUNTIF($D$2:D50,D50)-1</f>
        <v>8</v>
      </c>
    </row>
    <row r="51" customFormat="false" ht="15" hidden="false" customHeight="false" outlineLevel="0" collapsed="false">
      <c r="A51" s="14" t="n">
        <v>45778</v>
      </c>
      <c r="B51" s="15" t="s">
        <v>35</v>
      </c>
      <c r="C51" s="15" t="s">
        <v>37</v>
      </c>
      <c r="D51" s="16" t="n">
        <v>37800</v>
      </c>
      <c r="E51" s="15" t="n">
        <v>167</v>
      </c>
      <c r="F51" s="15" t="n">
        <v>14</v>
      </c>
      <c r="G51" s="16" t="n">
        <v>8800</v>
      </c>
      <c r="H51" s="17" t="n">
        <v>92.4</v>
      </c>
      <c r="I51" s="13" t="n">
        <f aca="false">RANK(D51,$D$2:$D$145)+COUNTIF($D$2:D51,D51)-1</f>
        <v>49</v>
      </c>
    </row>
    <row r="52" customFormat="false" ht="15" hidden="false" customHeight="false" outlineLevel="0" collapsed="false">
      <c r="A52" s="14" t="n">
        <v>45778</v>
      </c>
      <c r="B52" s="15" t="s">
        <v>35</v>
      </c>
      <c r="C52" s="15" t="s">
        <v>38</v>
      </c>
      <c r="D52" s="16" t="n">
        <v>45000</v>
      </c>
      <c r="E52" s="15" t="n">
        <v>202</v>
      </c>
      <c r="F52" s="15" t="n">
        <v>13</v>
      </c>
      <c r="G52" s="16" t="n">
        <v>13850</v>
      </c>
      <c r="H52" s="17" t="n">
        <v>82.8</v>
      </c>
      <c r="I52" s="13" t="n">
        <f aca="false">RANK(D52,$D$2:$D$145)+COUNTIF($D$2:D52,D52)-1</f>
        <v>24</v>
      </c>
    </row>
    <row r="53" customFormat="false" ht="15" hidden="false" customHeight="false" outlineLevel="0" collapsed="false">
      <c r="A53" s="14" t="n">
        <v>45778</v>
      </c>
      <c r="B53" s="15" t="s">
        <v>39</v>
      </c>
      <c r="C53" s="15" t="s">
        <v>36</v>
      </c>
      <c r="D53" s="16" t="n">
        <v>39100</v>
      </c>
      <c r="E53" s="15" t="n">
        <v>217</v>
      </c>
      <c r="F53" s="15" t="n">
        <v>17</v>
      </c>
      <c r="G53" s="16" t="n">
        <v>10720</v>
      </c>
      <c r="H53" s="17" t="n">
        <v>83.5</v>
      </c>
      <c r="I53" s="13" t="n">
        <f aca="false">RANK(D53,$D$2:$D$145)+COUNTIF($D$2:D53,D53)-1</f>
        <v>44</v>
      </c>
    </row>
    <row r="54" customFormat="false" ht="15" hidden="false" customHeight="false" outlineLevel="0" collapsed="false">
      <c r="A54" s="14" t="n">
        <v>45778</v>
      </c>
      <c r="B54" s="15" t="s">
        <v>39</v>
      </c>
      <c r="C54" s="15" t="s">
        <v>37</v>
      </c>
      <c r="D54" s="16" t="n">
        <v>30200</v>
      </c>
      <c r="E54" s="15" t="n">
        <v>135</v>
      </c>
      <c r="F54" s="15" t="n">
        <v>8</v>
      </c>
      <c r="G54" s="16" t="n">
        <v>6640</v>
      </c>
      <c r="H54" s="17" t="n">
        <v>85.1</v>
      </c>
      <c r="I54" s="13" t="n">
        <f aca="false">RANK(D54,$D$2:$D$145)+COUNTIF($D$2:D54,D54)-1</f>
        <v>79</v>
      </c>
    </row>
    <row r="55" customFormat="false" ht="15" hidden="false" customHeight="false" outlineLevel="0" collapsed="false">
      <c r="A55" s="14" t="n">
        <v>45778</v>
      </c>
      <c r="B55" s="15" t="s">
        <v>39</v>
      </c>
      <c r="C55" s="15" t="s">
        <v>38</v>
      </c>
      <c r="D55" s="16" t="n">
        <v>36100</v>
      </c>
      <c r="E55" s="15" t="n">
        <v>192</v>
      </c>
      <c r="F55" s="15" t="n">
        <v>13</v>
      </c>
      <c r="G55" s="16" t="n">
        <v>9390</v>
      </c>
      <c r="H55" s="17" t="n">
        <v>79.5</v>
      </c>
      <c r="I55" s="13" t="n">
        <f aca="false">RANK(D55,$D$2:$D$145)+COUNTIF($D$2:D55,D55)-1</f>
        <v>58</v>
      </c>
    </row>
    <row r="56" customFormat="false" ht="15" hidden="false" customHeight="false" outlineLevel="0" collapsed="false">
      <c r="A56" s="14" t="n">
        <v>45778</v>
      </c>
      <c r="B56" s="15" t="s">
        <v>40</v>
      </c>
      <c r="C56" s="15" t="s">
        <v>36</v>
      </c>
      <c r="D56" s="16" t="n">
        <v>40700</v>
      </c>
      <c r="E56" s="15" t="n">
        <v>184</v>
      </c>
      <c r="F56" s="15" t="n">
        <v>13</v>
      </c>
      <c r="G56" s="16" t="n">
        <v>7860</v>
      </c>
      <c r="H56" s="17" t="n">
        <v>92.2</v>
      </c>
      <c r="I56" s="13" t="n">
        <f aca="false">RANK(D56,$D$2:$D$145)+COUNTIF($D$2:D56,D56)-1</f>
        <v>36</v>
      </c>
    </row>
    <row r="57" customFormat="false" ht="15" hidden="false" customHeight="false" outlineLevel="0" collapsed="false">
      <c r="A57" s="14" t="n">
        <v>45778</v>
      </c>
      <c r="B57" s="15" t="s">
        <v>40</v>
      </c>
      <c r="C57" s="15" t="s">
        <v>37</v>
      </c>
      <c r="D57" s="16" t="n">
        <v>24200</v>
      </c>
      <c r="E57" s="15" t="n">
        <v>106</v>
      </c>
      <c r="F57" s="15" t="n">
        <v>7</v>
      </c>
      <c r="G57" s="16" t="n">
        <v>5340</v>
      </c>
      <c r="H57" s="17" t="n">
        <v>87.9</v>
      </c>
      <c r="I57" s="13" t="n">
        <f aca="false">RANK(D57,$D$2:$D$145)+COUNTIF($D$2:D57,D57)-1</f>
        <v>104</v>
      </c>
    </row>
    <row r="58" customFormat="false" ht="15" hidden="false" customHeight="false" outlineLevel="0" collapsed="false">
      <c r="A58" s="14" t="n">
        <v>45778</v>
      </c>
      <c r="B58" s="15" t="s">
        <v>40</v>
      </c>
      <c r="C58" s="15" t="s">
        <v>38</v>
      </c>
      <c r="D58" s="16" t="n">
        <v>28500</v>
      </c>
      <c r="E58" s="15" t="n">
        <v>128</v>
      </c>
      <c r="F58" s="15" t="n">
        <v>8</v>
      </c>
      <c r="G58" s="16" t="n">
        <v>5050</v>
      </c>
      <c r="H58" s="17" t="n">
        <v>88</v>
      </c>
      <c r="I58" s="13" t="n">
        <f aca="false">RANK(D58,$D$2:$D$145)+COUNTIF($D$2:D58,D58)-1</f>
        <v>86</v>
      </c>
    </row>
    <row r="59" customFormat="false" ht="15" hidden="false" customHeight="false" outlineLevel="0" collapsed="false">
      <c r="A59" s="14" t="n">
        <v>45778</v>
      </c>
      <c r="B59" s="15" t="s">
        <v>41</v>
      </c>
      <c r="C59" s="15" t="s">
        <v>36</v>
      </c>
      <c r="D59" s="16" t="n">
        <v>23300</v>
      </c>
      <c r="E59" s="15" t="n">
        <v>91</v>
      </c>
      <c r="F59" s="15" t="n">
        <v>5</v>
      </c>
      <c r="G59" s="16" t="n">
        <v>5010</v>
      </c>
      <c r="H59" s="17" t="n">
        <v>92.9</v>
      </c>
      <c r="I59" s="13" t="n">
        <f aca="false">RANK(D59,$D$2:$D$145)+COUNTIF($D$2:D59,D59)-1</f>
        <v>108</v>
      </c>
    </row>
    <row r="60" customFormat="false" ht="15" hidden="false" customHeight="false" outlineLevel="0" collapsed="false">
      <c r="A60" s="14" t="n">
        <v>45778</v>
      </c>
      <c r="B60" s="15" t="s">
        <v>41</v>
      </c>
      <c r="C60" s="15" t="s">
        <v>37</v>
      </c>
      <c r="D60" s="16" t="n">
        <v>15100</v>
      </c>
      <c r="E60" s="15" t="n">
        <v>79</v>
      </c>
      <c r="F60" s="15" t="n">
        <v>4</v>
      </c>
      <c r="G60" s="16" t="n">
        <v>3470</v>
      </c>
      <c r="H60" s="17" t="n">
        <v>75.5</v>
      </c>
      <c r="I60" s="13" t="n">
        <f aca="false">RANK(D60,$D$2:$D$145)+COUNTIF($D$2:D60,D60)-1</f>
        <v>131</v>
      </c>
    </row>
    <row r="61" customFormat="false" ht="15" hidden="false" customHeight="false" outlineLevel="0" collapsed="false">
      <c r="A61" s="14" t="n">
        <v>45778</v>
      </c>
      <c r="B61" s="15" t="s">
        <v>41</v>
      </c>
      <c r="C61" s="15" t="s">
        <v>38</v>
      </c>
      <c r="D61" s="16" t="n">
        <v>14800</v>
      </c>
      <c r="E61" s="15" t="n">
        <v>80</v>
      </c>
      <c r="F61" s="15" t="n">
        <v>6</v>
      </c>
      <c r="G61" s="16" t="n">
        <v>2830</v>
      </c>
      <c r="H61" s="17" t="n">
        <v>91.9</v>
      </c>
      <c r="I61" s="13" t="n">
        <f aca="false">RANK(D61,$D$2:$D$145)+COUNTIF($D$2:D61,D61)-1</f>
        <v>133</v>
      </c>
    </row>
    <row r="62" customFormat="false" ht="15" hidden="false" customHeight="false" outlineLevel="0" collapsed="false">
      <c r="A62" s="14" t="n">
        <v>45809</v>
      </c>
      <c r="B62" s="15" t="s">
        <v>35</v>
      </c>
      <c r="C62" s="15" t="s">
        <v>36</v>
      </c>
      <c r="D62" s="16" t="n">
        <v>53300</v>
      </c>
      <c r="E62" s="15" t="n">
        <v>225</v>
      </c>
      <c r="F62" s="15" t="n">
        <v>16</v>
      </c>
      <c r="G62" s="16" t="n">
        <v>14920</v>
      </c>
      <c r="H62" s="17" t="n">
        <v>91.7</v>
      </c>
      <c r="I62" s="13" t="n">
        <f aca="false">RANK(D62,$D$2:$D$145)+COUNTIF($D$2:D62,D62)-1</f>
        <v>11</v>
      </c>
    </row>
    <row r="63" customFormat="false" ht="15" hidden="false" customHeight="false" outlineLevel="0" collapsed="false">
      <c r="A63" s="14" t="n">
        <v>45809</v>
      </c>
      <c r="B63" s="15" t="s">
        <v>35</v>
      </c>
      <c r="C63" s="15" t="s">
        <v>37</v>
      </c>
      <c r="D63" s="16" t="n">
        <v>44400</v>
      </c>
      <c r="E63" s="15" t="n">
        <v>225</v>
      </c>
      <c r="F63" s="15" t="n">
        <v>20</v>
      </c>
      <c r="G63" s="16" t="n">
        <v>10480</v>
      </c>
      <c r="H63" s="17" t="n">
        <v>83.7</v>
      </c>
      <c r="I63" s="13" t="n">
        <f aca="false">RANK(D63,$D$2:$D$145)+COUNTIF($D$2:D63,D63)-1</f>
        <v>26</v>
      </c>
    </row>
    <row r="64" customFormat="false" ht="15" hidden="false" customHeight="false" outlineLevel="0" collapsed="false">
      <c r="A64" s="14" t="n">
        <v>45809</v>
      </c>
      <c r="B64" s="15" t="s">
        <v>35</v>
      </c>
      <c r="C64" s="15" t="s">
        <v>38</v>
      </c>
      <c r="D64" s="16" t="n">
        <v>52500</v>
      </c>
      <c r="E64" s="15" t="n">
        <v>213</v>
      </c>
      <c r="F64" s="15" t="n">
        <v>10</v>
      </c>
      <c r="G64" s="16" t="n">
        <v>12150</v>
      </c>
      <c r="H64" s="17" t="n">
        <v>84.3</v>
      </c>
      <c r="I64" s="13" t="n">
        <f aca="false">RANK(D64,$D$2:$D$145)+COUNTIF($D$2:D64,D64)-1</f>
        <v>12</v>
      </c>
    </row>
    <row r="65" customFormat="false" ht="15" hidden="false" customHeight="false" outlineLevel="0" collapsed="false">
      <c r="A65" s="14" t="n">
        <v>45809</v>
      </c>
      <c r="B65" s="15" t="s">
        <v>39</v>
      </c>
      <c r="C65" s="15" t="s">
        <v>36</v>
      </c>
      <c r="D65" s="16" t="n">
        <v>41800</v>
      </c>
      <c r="E65" s="15" t="n">
        <v>214</v>
      </c>
      <c r="F65" s="15" t="n">
        <v>12</v>
      </c>
      <c r="G65" s="16" t="n">
        <v>8230</v>
      </c>
      <c r="H65" s="17" t="n">
        <v>74.4</v>
      </c>
      <c r="I65" s="13" t="n">
        <f aca="false">RANK(D65,$D$2:$D$145)+COUNTIF($D$2:D65,D65)-1</f>
        <v>31</v>
      </c>
    </row>
    <row r="66" customFormat="false" ht="15" hidden="false" customHeight="false" outlineLevel="0" collapsed="false">
      <c r="A66" s="14" t="n">
        <v>45809</v>
      </c>
      <c r="B66" s="15" t="s">
        <v>39</v>
      </c>
      <c r="C66" s="15" t="s">
        <v>37</v>
      </c>
      <c r="D66" s="16" t="n">
        <v>29200</v>
      </c>
      <c r="E66" s="15" t="n">
        <v>136</v>
      </c>
      <c r="F66" s="15" t="n">
        <v>6</v>
      </c>
      <c r="G66" s="16" t="n">
        <v>7190</v>
      </c>
      <c r="H66" s="17" t="n">
        <v>86.5</v>
      </c>
      <c r="I66" s="13" t="n">
        <f aca="false">RANK(D66,$D$2:$D$145)+COUNTIF($D$2:D66,D66)-1</f>
        <v>84</v>
      </c>
    </row>
    <row r="67" customFormat="false" ht="15" hidden="false" customHeight="false" outlineLevel="0" collapsed="false">
      <c r="A67" s="14" t="n">
        <v>45809</v>
      </c>
      <c r="B67" s="15" t="s">
        <v>39</v>
      </c>
      <c r="C67" s="15" t="s">
        <v>38</v>
      </c>
      <c r="D67" s="16" t="n">
        <v>33900</v>
      </c>
      <c r="E67" s="15" t="n">
        <v>183</v>
      </c>
      <c r="F67" s="15" t="n">
        <v>16</v>
      </c>
      <c r="G67" s="16" t="n">
        <v>6460</v>
      </c>
      <c r="H67" s="17" t="n">
        <v>93.4</v>
      </c>
      <c r="I67" s="13" t="n">
        <f aca="false">RANK(D67,$D$2:$D$145)+COUNTIF($D$2:D67,D67)-1</f>
        <v>63</v>
      </c>
    </row>
    <row r="68" customFormat="false" ht="15" hidden="false" customHeight="false" outlineLevel="0" collapsed="false">
      <c r="A68" s="14" t="n">
        <v>45809</v>
      </c>
      <c r="B68" s="15" t="s">
        <v>40</v>
      </c>
      <c r="C68" s="15" t="s">
        <v>36</v>
      </c>
      <c r="D68" s="16" t="n">
        <v>33700</v>
      </c>
      <c r="E68" s="15" t="n">
        <v>167</v>
      </c>
      <c r="F68" s="15" t="n">
        <v>7</v>
      </c>
      <c r="G68" s="16" t="n">
        <v>6450</v>
      </c>
      <c r="H68" s="17" t="n">
        <v>79.4</v>
      </c>
      <c r="I68" s="13" t="n">
        <f aca="false">RANK(D68,$D$2:$D$145)+COUNTIF($D$2:D68,D68)-1</f>
        <v>65</v>
      </c>
    </row>
    <row r="69" customFormat="false" ht="15" hidden="false" customHeight="false" outlineLevel="0" collapsed="false">
      <c r="A69" s="14" t="n">
        <v>45809</v>
      </c>
      <c r="B69" s="15" t="s">
        <v>40</v>
      </c>
      <c r="C69" s="15" t="s">
        <v>37</v>
      </c>
      <c r="D69" s="16" t="n">
        <v>22200</v>
      </c>
      <c r="E69" s="15" t="n">
        <v>104</v>
      </c>
      <c r="F69" s="15" t="n">
        <v>9</v>
      </c>
      <c r="G69" s="16" t="n">
        <v>4170</v>
      </c>
      <c r="H69" s="17" t="n">
        <v>79.2</v>
      </c>
      <c r="I69" s="13" t="n">
        <f aca="false">RANK(D69,$D$2:$D$145)+COUNTIF($D$2:D69,D69)-1</f>
        <v>110</v>
      </c>
    </row>
    <row r="70" customFormat="false" ht="15" hidden="false" customHeight="false" outlineLevel="0" collapsed="false">
      <c r="A70" s="14" t="n">
        <v>45809</v>
      </c>
      <c r="B70" s="15" t="s">
        <v>40</v>
      </c>
      <c r="C70" s="15" t="s">
        <v>38</v>
      </c>
      <c r="D70" s="16" t="n">
        <v>26300</v>
      </c>
      <c r="E70" s="15" t="n">
        <v>104</v>
      </c>
      <c r="F70" s="15" t="n">
        <v>7</v>
      </c>
      <c r="G70" s="16" t="n">
        <v>5240</v>
      </c>
      <c r="H70" s="17" t="n">
        <v>75.8</v>
      </c>
      <c r="I70" s="13" t="n">
        <f aca="false">RANK(D70,$D$2:$D$145)+COUNTIF($D$2:D70,D70)-1</f>
        <v>93</v>
      </c>
    </row>
    <row r="71" customFormat="false" ht="15" hidden="false" customHeight="false" outlineLevel="0" collapsed="false">
      <c r="A71" s="14" t="n">
        <v>45809</v>
      </c>
      <c r="B71" s="15" t="s">
        <v>41</v>
      </c>
      <c r="C71" s="15" t="s">
        <v>36</v>
      </c>
      <c r="D71" s="16" t="n">
        <v>18400</v>
      </c>
      <c r="E71" s="15" t="n">
        <v>78</v>
      </c>
      <c r="F71" s="15" t="n">
        <v>5</v>
      </c>
      <c r="G71" s="16" t="n">
        <v>5430</v>
      </c>
      <c r="H71" s="17" t="n">
        <v>92.8</v>
      </c>
      <c r="I71" s="13" t="n">
        <f aca="false">RANK(D71,$D$2:$D$145)+COUNTIF($D$2:D71,D71)-1</f>
        <v>123</v>
      </c>
    </row>
    <row r="72" customFormat="false" ht="15" hidden="false" customHeight="false" outlineLevel="0" collapsed="false">
      <c r="A72" s="14" t="n">
        <v>45809</v>
      </c>
      <c r="B72" s="15" t="s">
        <v>41</v>
      </c>
      <c r="C72" s="15" t="s">
        <v>37</v>
      </c>
      <c r="D72" s="16" t="n">
        <v>14500</v>
      </c>
      <c r="E72" s="15" t="n">
        <v>59</v>
      </c>
      <c r="F72" s="15" t="n">
        <v>3</v>
      </c>
      <c r="G72" s="16" t="n">
        <v>2670</v>
      </c>
      <c r="H72" s="17" t="n">
        <v>75.3</v>
      </c>
      <c r="I72" s="13" t="n">
        <f aca="false">RANK(D72,$D$2:$D$145)+COUNTIF($D$2:D72,D72)-1</f>
        <v>138</v>
      </c>
    </row>
    <row r="73" customFormat="false" ht="15" hidden="false" customHeight="false" outlineLevel="0" collapsed="false">
      <c r="A73" s="14" t="n">
        <v>45809</v>
      </c>
      <c r="B73" s="15" t="s">
        <v>41</v>
      </c>
      <c r="C73" s="15" t="s">
        <v>38</v>
      </c>
      <c r="D73" s="16" t="n">
        <v>18100</v>
      </c>
      <c r="E73" s="15" t="n">
        <v>84</v>
      </c>
      <c r="F73" s="15" t="n">
        <v>5</v>
      </c>
      <c r="G73" s="16" t="n">
        <v>3900</v>
      </c>
      <c r="H73" s="17" t="n">
        <v>92.5</v>
      </c>
      <c r="I73" s="13" t="n">
        <f aca="false">RANK(D73,$D$2:$D$145)+COUNTIF($D$2:D73,D73)-1</f>
        <v>125</v>
      </c>
    </row>
    <row r="74" customFormat="false" ht="15" hidden="false" customHeight="false" outlineLevel="0" collapsed="false">
      <c r="A74" s="14" t="n">
        <v>45839</v>
      </c>
      <c r="B74" s="15" t="s">
        <v>35</v>
      </c>
      <c r="C74" s="15" t="s">
        <v>36</v>
      </c>
      <c r="D74" s="16" t="n">
        <v>56300</v>
      </c>
      <c r="E74" s="15" t="n">
        <v>296</v>
      </c>
      <c r="F74" s="15" t="n">
        <v>20</v>
      </c>
      <c r="G74" s="16" t="n">
        <v>14740</v>
      </c>
      <c r="H74" s="17" t="n">
        <v>76.2</v>
      </c>
      <c r="I74" s="13" t="n">
        <f aca="false">RANK(D74,$D$2:$D$145)+COUNTIF($D$2:D74,D74)-1</f>
        <v>6</v>
      </c>
    </row>
    <row r="75" customFormat="false" ht="15" hidden="false" customHeight="false" outlineLevel="0" collapsed="false">
      <c r="A75" s="14" t="n">
        <v>45839</v>
      </c>
      <c r="B75" s="15" t="s">
        <v>35</v>
      </c>
      <c r="C75" s="15" t="s">
        <v>37</v>
      </c>
      <c r="D75" s="16" t="n">
        <v>35500</v>
      </c>
      <c r="E75" s="15" t="n">
        <v>193</v>
      </c>
      <c r="F75" s="15" t="n">
        <v>10</v>
      </c>
      <c r="G75" s="16" t="n">
        <v>8850</v>
      </c>
      <c r="H75" s="17" t="n">
        <v>80.1</v>
      </c>
      <c r="I75" s="13" t="n">
        <f aca="false">RANK(D75,$D$2:$D$145)+COUNTIF($D$2:D75,D75)-1</f>
        <v>60</v>
      </c>
    </row>
    <row r="76" customFormat="false" ht="15" hidden="false" customHeight="false" outlineLevel="0" collapsed="false">
      <c r="A76" s="14" t="n">
        <v>45839</v>
      </c>
      <c r="B76" s="15" t="s">
        <v>35</v>
      </c>
      <c r="C76" s="15" t="s">
        <v>38</v>
      </c>
      <c r="D76" s="16" t="n">
        <v>50200</v>
      </c>
      <c r="E76" s="15" t="n">
        <v>247</v>
      </c>
      <c r="F76" s="15" t="n">
        <v>16</v>
      </c>
      <c r="G76" s="16" t="n">
        <v>13710</v>
      </c>
      <c r="H76" s="17" t="n">
        <v>80.9</v>
      </c>
      <c r="I76" s="13" t="n">
        <f aca="false">RANK(D76,$D$2:$D$145)+COUNTIF($D$2:D76,D76)-1</f>
        <v>15</v>
      </c>
    </row>
    <row r="77" customFormat="false" ht="15" hidden="false" customHeight="false" outlineLevel="0" collapsed="false">
      <c r="A77" s="14" t="n">
        <v>45839</v>
      </c>
      <c r="B77" s="15" t="s">
        <v>39</v>
      </c>
      <c r="C77" s="15" t="s">
        <v>36</v>
      </c>
      <c r="D77" s="16" t="n">
        <v>38200</v>
      </c>
      <c r="E77" s="15" t="n">
        <v>191</v>
      </c>
      <c r="F77" s="15" t="n">
        <v>8</v>
      </c>
      <c r="G77" s="16" t="n">
        <v>7480</v>
      </c>
      <c r="H77" s="17" t="n">
        <v>85</v>
      </c>
      <c r="I77" s="13" t="n">
        <f aca="false">RANK(D77,$D$2:$D$145)+COUNTIF($D$2:D77,D77)-1</f>
        <v>47</v>
      </c>
    </row>
    <row r="78" customFormat="false" ht="15" hidden="false" customHeight="false" outlineLevel="0" collapsed="false">
      <c r="A78" s="14" t="n">
        <v>45839</v>
      </c>
      <c r="B78" s="15" t="s">
        <v>39</v>
      </c>
      <c r="C78" s="15" t="s">
        <v>37</v>
      </c>
      <c r="D78" s="16" t="n">
        <v>26500</v>
      </c>
      <c r="E78" s="15" t="n">
        <v>122</v>
      </c>
      <c r="F78" s="15" t="n">
        <v>11</v>
      </c>
      <c r="G78" s="16" t="n">
        <v>7620</v>
      </c>
      <c r="H78" s="17" t="n">
        <v>90.4</v>
      </c>
      <c r="I78" s="13" t="n">
        <f aca="false">RANK(D78,$D$2:$D$145)+COUNTIF($D$2:D78,D78)-1</f>
        <v>91</v>
      </c>
    </row>
    <row r="79" customFormat="false" ht="15" hidden="false" customHeight="false" outlineLevel="0" collapsed="false">
      <c r="A79" s="14" t="n">
        <v>45839</v>
      </c>
      <c r="B79" s="15" t="s">
        <v>39</v>
      </c>
      <c r="C79" s="15" t="s">
        <v>38</v>
      </c>
      <c r="D79" s="16" t="n">
        <v>33600</v>
      </c>
      <c r="E79" s="15" t="n">
        <v>153</v>
      </c>
      <c r="F79" s="15" t="n">
        <v>13</v>
      </c>
      <c r="G79" s="16" t="n">
        <v>7960</v>
      </c>
      <c r="H79" s="17" t="n">
        <v>84.1</v>
      </c>
      <c r="I79" s="13" t="n">
        <f aca="false">RANK(D79,$D$2:$D$145)+COUNTIF($D$2:D79,D79)-1</f>
        <v>66</v>
      </c>
    </row>
    <row r="80" customFormat="false" ht="15" hidden="false" customHeight="false" outlineLevel="0" collapsed="false">
      <c r="A80" s="14" t="n">
        <v>45839</v>
      </c>
      <c r="B80" s="15" t="s">
        <v>40</v>
      </c>
      <c r="C80" s="15" t="s">
        <v>36</v>
      </c>
      <c r="D80" s="16" t="n">
        <v>41100</v>
      </c>
      <c r="E80" s="15" t="n">
        <v>159</v>
      </c>
      <c r="F80" s="15" t="n">
        <v>9</v>
      </c>
      <c r="G80" s="16" t="n">
        <v>7660</v>
      </c>
      <c r="H80" s="17" t="n">
        <v>88.1</v>
      </c>
      <c r="I80" s="13" t="n">
        <f aca="false">RANK(D80,$D$2:$D$145)+COUNTIF($D$2:D80,D80)-1</f>
        <v>34</v>
      </c>
    </row>
    <row r="81" customFormat="false" ht="15" hidden="false" customHeight="false" outlineLevel="0" collapsed="false">
      <c r="A81" s="14" t="n">
        <v>45839</v>
      </c>
      <c r="B81" s="15" t="s">
        <v>40</v>
      </c>
      <c r="C81" s="15" t="s">
        <v>37</v>
      </c>
      <c r="D81" s="16" t="n">
        <v>26500</v>
      </c>
      <c r="E81" s="15" t="n">
        <v>125</v>
      </c>
      <c r="F81" s="15" t="n">
        <v>7</v>
      </c>
      <c r="G81" s="16" t="n">
        <v>7930</v>
      </c>
      <c r="H81" s="17" t="n">
        <v>76.6</v>
      </c>
      <c r="I81" s="13" t="n">
        <f aca="false">RANK(D81,$D$2:$D$145)+COUNTIF($D$2:D81,D81)-1</f>
        <v>92</v>
      </c>
    </row>
    <row r="82" customFormat="false" ht="15" hidden="false" customHeight="false" outlineLevel="0" collapsed="false">
      <c r="A82" s="14" t="n">
        <v>45839</v>
      </c>
      <c r="B82" s="15" t="s">
        <v>40</v>
      </c>
      <c r="C82" s="15" t="s">
        <v>38</v>
      </c>
      <c r="D82" s="16" t="n">
        <v>26100</v>
      </c>
      <c r="E82" s="15" t="n">
        <v>109</v>
      </c>
      <c r="F82" s="15" t="n">
        <v>6</v>
      </c>
      <c r="G82" s="16" t="n">
        <v>7200</v>
      </c>
      <c r="H82" s="17" t="n">
        <v>75.7</v>
      </c>
      <c r="I82" s="13" t="n">
        <f aca="false">RANK(D82,$D$2:$D$145)+COUNTIF($D$2:D82,D82)-1</f>
        <v>95</v>
      </c>
    </row>
    <row r="83" customFormat="false" ht="15" hidden="false" customHeight="false" outlineLevel="0" collapsed="false">
      <c r="A83" s="14" t="n">
        <v>45839</v>
      </c>
      <c r="B83" s="15" t="s">
        <v>41</v>
      </c>
      <c r="C83" s="15" t="s">
        <v>36</v>
      </c>
      <c r="D83" s="16" t="n">
        <v>23800</v>
      </c>
      <c r="E83" s="15" t="n">
        <v>95</v>
      </c>
      <c r="F83" s="15" t="n">
        <v>7</v>
      </c>
      <c r="G83" s="16" t="n">
        <v>6050</v>
      </c>
      <c r="H83" s="17" t="n">
        <v>78.8</v>
      </c>
      <c r="I83" s="13" t="n">
        <f aca="false">RANK(D83,$D$2:$D$145)+COUNTIF($D$2:D83,D83)-1</f>
        <v>106</v>
      </c>
    </row>
    <row r="84" customFormat="false" ht="15" hidden="false" customHeight="false" outlineLevel="0" collapsed="false">
      <c r="A84" s="14" t="n">
        <v>45839</v>
      </c>
      <c r="B84" s="15" t="s">
        <v>41</v>
      </c>
      <c r="C84" s="15" t="s">
        <v>37</v>
      </c>
      <c r="D84" s="16" t="n">
        <v>13200</v>
      </c>
      <c r="E84" s="15" t="n">
        <v>61</v>
      </c>
      <c r="F84" s="15" t="n">
        <v>3</v>
      </c>
      <c r="G84" s="16" t="n">
        <v>3030</v>
      </c>
      <c r="H84" s="17" t="n">
        <v>79.3</v>
      </c>
      <c r="I84" s="13" t="n">
        <f aca="false">RANK(D84,$D$2:$D$145)+COUNTIF($D$2:D84,D84)-1</f>
        <v>144</v>
      </c>
    </row>
    <row r="85" customFormat="false" ht="15" hidden="false" customHeight="false" outlineLevel="0" collapsed="false">
      <c r="A85" s="14" t="n">
        <v>45839</v>
      </c>
      <c r="B85" s="15" t="s">
        <v>41</v>
      </c>
      <c r="C85" s="15" t="s">
        <v>38</v>
      </c>
      <c r="D85" s="16" t="n">
        <v>18900</v>
      </c>
      <c r="E85" s="15" t="n">
        <v>73</v>
      </c>
      <c r="F85" s="15" t="n">
        <v>5</v>
      </c>
      <c r="G85" s="16" t="n">
        <v>4930</v>
      </c>
      <c r="H85" s="17" t="n">
        <v>93.3</v>
      </c>
      <c r="I85" s="13" t="n">
        <f aca="false">RANK(D85,$D$2:$D$145)+COUNTIF($D$2:D85,D85)-1</f>
        <v>119</v>
      </c>
    </row>
    <row r="86" customFormat="false" ht="15" hidden="false" customHeight="false" outlineLevel="0" collapsed="false">
      <c r="A86" s="14" t="n">
        <v>45870</v>
      </c>
      <c r="B86" s="15" t="s">
        <v>35</v>
      </c>
      <c r="C86" s="15" t="s">
        <v>36</v>
      </c>
      <c r="D86" s="16" t="n">
        <v>58000</v>
      </c>
      <c r="E86" s="15" t="n">
        <v>278</v>
      </c>
      <c r="F86" s="15" t="n">
        <v>11</v>
      </c>
      <c r="G86" s="16" t="n">
        <v>13840</v>
      </c>
      <c r="H86" s="17" t="n">
        <v>83.5</v>
      </c>
      <c r="I86" s="13" t="n">
        <f aca="false">RANK(D86,$D$2:$D$145)+COUNTIF($D$2:D86,D86)-1</f>
        <v>4</v>
      </c>
    </row>
    <row r="87" customFormat="false" ht="15" hidden="false" customHeight="false" outlineLevel="0" collapsed="false">
      <c r="A87" s="14" t="n">
        <v>45870</v>
      </c>
      <c r="B87" s="15" t="s">
        <v>35</v>
      </c>
      <c r="C87" s="15" t="s">
        <v>37</v>
      </c>
      <c r="D87" s="16" t="n">
        <v>40200</v>
      </c>
      <c r="E87" s="15" t="n">
        <v>205</v>
      </c>
      <c r="F87" s="15" t="n">
        <v>13</v>
      </c>
      <c r="G87" s="16" t="n">
        <v>12510</v>
      </c>
      <c r="H87" s="17" t="n">
        <v>79.3</v>
      </c>
      <c r="I87" s="13" t="n">
        <f aca="false">RANK(D87,$D$2:$D$145)+COUNTIF($D$2:D87,D87)-1</f>
        <v>39</v>
      </c>
    </row>
    <row r="88" customFormat="false" ht="15" hidden="false" customHeight="false" outlineLevel="0" collapsed="false">
      <c r="A88" s="14" t="n">
        <v>45870</v>
      </c>
      <c r="B88" s="15" t="s">
        <v>35</v>
      </c>
      <c r="C88" s="15" t="s">
        <v>38</v>
      </c>
      <c r="D88" s="16" t="n">
        <v>41500</v>
      </c>
      <c r="E88" s="15" t="n">
        <v>196</v>
      </c>
      <c r="F88" s="15" t="n">
        <v>8</v>
      </c>
      <c r="G88" s="16" t="n">
        <v>12740</v>
      </c>
      <c r="H88" s="17" t="n">
        <v>80.1</v>
      </c>
      <c r="I88" s="13" t="n">
        <f aca="false">RANK(D88,$D$2:$D$145)+COUNTIF($D$2:D88,D88)-1</f>
        <v>33</v>
      </c>
    </row>
    <row r="89" customFormat="false" ht="15" hidden="false" customHeight="false" outlineLevel="0" collapsed="false">
      <c r="A89" s="14" t="n">
        <v>45870</v>
      </c>
      <c r="B89" s="15" t="s">
        <v>39</v>
      </c>
      <c r="C89" s="15" t="s">
        <v>36</v>
      </c>
      <c r="D89" s="16" t="n">
        <v>41700</v>
      </c>
      <c r="E89" s="15" t="n">
        <v>184</v>
      </c>
      <c r="F89" s="15" t="n">
        <v>12</v>
      </c>
      <c r="G89" s="16" t="n">
        <v>8090</v>
      </c>
      <c r="H89" s="17" t="n">
        <v>87.2</v>
      </c>
      <c r="I89" s="13" t="n">
        <f aca="false">RANK(D89,$D$2:$D$145)+COUNTIF($D$2:D89,D89)-1</f>
        <v>32</v>
      </c>
    </row>
    <row r="90" customFormat="false" ht="15" hidden="false" customHeight="false" outlineLevel="0" collapsed="false">
      <c r="A90" s="14" t="n">
        <v>45870</v>
      </c>
      <c r="B90" s="15" t="s">
        <v>39</v>
      </c>
      <c r="C90" s="15" t="s">
        <v>37</v>
      </c>
      <c r="D90" s="16" t="n">
        <v>31600</v>
      </c>
      <c r="E90" s="15" t="n">
        <v>126</v>
      </c>
      <c r="F90" s="15" t="n">
        <v>7</v>
      </c>
      <c r="G90" s="16" t="n">
        <v>7810</v>
      </c>
      <c r="H90" s="17" t="n">
        <v>93.7</v>
      </c>
      <c r="I90" s="13" t="n">
        <f aca="false">RANK(D90,$D$2:$D$145)+COUNTIF($D$2:D90,D90)-1</f>
        <v>73</v>
      </c>
    </row>
    <row r="91" customFormat="false" ht="15" hidden="false" customHeight="false" outlineLevel="0" collapsed="false">
      <c r="A91" s="14" t="n">
        <v>45870</v>
      </c>
      <c r="B91" s="15" t="s">
        <v>39</v>
      </c>
      <c r="C91" s="15" t="s">
        <v>38</v>
      </c>
      <c r="D91" s="16" t="n">
        <v>31200</v>
      </c>
      <c r="E91" s="15" t="n">
        <v>131</v>
      </c>
      <c r="F91" s="15" t="n">
        <v>9</v>
      </c>
      <c r="G91" s="16" t="n">
        <v>9420</v>
      </c>
      <c r="H91" s="17" t="n">
        <v>90.7</v>
      </c>
      <c r="I91" s="13" t="n">
        <f aca="false">RANK(D91,$D$2:$D$145)+COUNTIF($D$2:D91,D91)-1</f>
        <v>74</v>
      </c>
    </row>
    <row r="92" customFormat="false" ht="15" hidden="false" customHeight="false" outlineLevel="0" collapsed="false">
      <c r="A92" s="14" t="n">
        <v>45870</v>
      </c>
      <c r="B92" s="15" t="s">
        <v>40</v>
      </c>
      <c r="C92" s="15" t="s">
        <v>36</v>
      </c>
      <c r="D92" s="16" t="n">
        <v>44200</v>
      </c>
      <c r="E92" s="15" t="n">
        <v>192</v>
      </c>
      <c r="F92" s="15" t="n">
        <v>15</v>
      </c>
      <c r="G92" s="16" t="n">
        <v>8320</v>
      </c>
      <c r="H92" s="17" t="n">
        <v>76.8</v>
      </c>
      <c r="I92" s="13" t="n">
        <f aca="false">RANK(D92,$D$2:$D$145)+COUNTIF($D$2:D92,D92)-1</f>
        <v>27</v>
      </c>
    </row>
    <row r="93" customFormat="false" ht="15" hidden="false" customHeight="false" outlineLevel="0" collapsed="false">
      <c r="A93" s="14" t="n">
        <v>45870</v>
      </c>
      <c r="B93" s="15" t="s">
        <v>40</v>
      </c>
      <c r="C93" s="15" t="s">
        <v>37</v>
      </c>
      <c r="D93" s="16" t="n">
        <v>26000</v>
      </c>
      <c r="E93" s="15" t="n">
        <v>118</v>
      </c>
      <c r="F93" s="15" t="n">
        <v>10</v>
      </c>
      <c r="G93" s="16" t="n">
        <v>4910</v>
      </c>
      <c r="H93" s="17" t="n">
        <v>90.5</v>
      </c>
      <c r="I93" s="13" t="n">
        <f aca="false">RANK(D93,$D$2:$D$145)+COUNTIF($D$2:D93,D93)-1</f>
        <v>96</v>
      </c>
    </row>
    <row r="94" customFormat="false" ht="15" hidden="false" customHeight="false" outlineLevel="0" collapsed="false">
      <c r="A94" s="14" t="n">
        <v>45870</v>
      </c>
      <c r="B94" s="15" t="s">
        <v>40</v>
      </c>
      <c r="C94" s="15" t="s">
        <v>38</v>
      </c>
      <c r="D94" s="16" t="n">
        <v>31200</v>
      </c>
      <c r="E94" s="15" t="n">
        <v>124</v>
      </c>
      <c r="F94" s="15" t="n">
        <v>9</v>
      </c>
      <c r="G94" s="16" t="n">
        <v>6240</v>
      </c>
      <c r="H94" s="17" t="n">
        <v>78.6</v>
      </c>
      <c r="I94" s="13" t="n">
        <f aca="false">RANK(D94,$D$2:$D$145)+COUNTIF($D$2:D94,D94)-1</f>
        <v>75</v>
      </c>
    </row>
    <row r="95" customFormat="false" ht="15" hidden="false" customHeight="false" outlineLevel="0" collapsed="false">
      <c r="A95" s="14" t="n">
        <v>45870</v>
      </c>
      <c r="B95" s="15" t="s">
        <v>41</v>
      </c>
      <c r="C95" s="15" t="s">
        <v>36</v>
      </c>
      <c r="D95" s="16" t="n">
        <v>18900</v>
      </c>
      <c r="E95" s="15" t="n">
        <v>99</v>
      </c>
      <c r="F95" s="15" t="n">
        <v>6</v>
      </c>
      <c r="G95" s="16" t="n">
        <v>5440</v>
      </c>
      <c r="H95" s="17" t="n">
        <v>90.7</v>
      </c>
      <c r="I95" s="13" t="n">
        <f aca="false">RANK(D95,$D$2:$D$145)+COUNTIF($D$2:D95,D95)-1</f>
        <v>120</v>
      </c>
    </row>
    <row r="96" customFormat="false" ht="15" hidden="false" customHeight="false" outlineLevel="0" collapsed="false">
      <c r="A96" s="14" t="n">
        <v>45870</v>
      </c>
      <c r="B96" s="15" t="s">
        <v>41</v>
      </c>
      <c r="C96" s="15" t="s">
        <v>37</v>
      </c>
      <c r="D96" s="16" t="n">
        <v>14600</v>
      </c>
      <c r="E96" s="15" t="n">
        <v>63</v>
      </c>
      <c r="F96" s="15" t="n">
        <v>4</v>
      </c>
      <c r="G96" s="16" t="n">
        <v>2940</v>
      </c>
      <c r="H96" s="17" t="n">
        <v>83.8</v>
      </c>
      <c r="I96" s="13" t="n">
        <f aca="false">RANK(D96,$D$2:$D$145)+COUNTIF($D$2:D96,D96)-1</f>
        <v>137</v>
      </c>
    </row>
    <row r="97" customFormat="false" ht="15" hidden="false" customHeight="false" outlineLevel="0" collapsed="false">
      <c r="A97" s="14" t="n">
        <v>45870</v>
      </c>
      <c r="B97" s="15" t="s">
        <v>41</v>
      </c>
      <c r="C97" s="15" t="s">
        <v>38</v>
      </c>
      <c r="D97" s="16" t="n">
        <v>14400</v>
      </c>
      <c r="E97" s="15" t="n">
        <v>59</v>
      </c>
      <c r="F97" s="15" t="n">
        <v>5</v>
      </c>
      <c r="G97" s="16" t="n">
        <v>3190</v>
      </c>
      <c r="H97" s="17" t="n">
        <v>84.7</v>
      </c>
      <c r="I97" s="13" t="n">
        <f aca="false">RANK(D97,$D$2:$D$145)+COUNTIF($D$2:D97,D97)-1</f>
        <v>141</v>
      </c>
    </row>
    <row r="98" customFormat="false" ht="15" hidden="false" customHeight="false" outlineLevel="0" collapsed="false">
      <c r="A98" s="14" t="n">
        <v>45901</v>
      </c>
      <c r="B98" s="15" t="s">
        <v>35</v>
      </c>
      <c r="C98" s="15" t="s">
        <v>36</v>
      </c>
      <c r="D98" s="16" t="n">
        <v>65400</v>
      </c>
      <c r="E98" s="15" t="n">
        <v>353</v>
      </c>
      <c r="F98" s="15" t="n">
        <v>27</v>
      </c>
      <c r="G98" s="16" t="n">
        <v>16960</v>
      </c>
      <c r="H98" s="17" t="n">
        <v>75.5</v>
      </c>
      <c r="I98" s="13" t="n">
        <f aca="false">RANK(D98,$D$2:$D$145)+COUNTIF($D$2:D98,D98)-1</f>
        <v>1</v>
      </c>
    </row>
    <row r="99" customFormat="false" ht="15" hidden="false" customHeight="false" outlineLevel="0" collapsed="false">
      <c r="A99" s="14" t="n">
        <v>45901</v>
      </c>
      <c r="B99" s="15" t="s">
        <v>35</v>
      </c>
      <c r="C99" s="15" t="s">
        <v>37</v>
      </c>
      <c r="D99" s="16" t="n">
        <v>38000</v>
      </c>
      <c r="E99" s="15" t="n">
        <v>159</v>
      </c>
      <c r="F99" s="15" t="n">
        <v>8</v>
      </c>
      <c r="G99" s="16" t="n">
        <v>7420</v>
      </c>
      <c r="H99" s="17" t="n">
        <v>93.5</v>
      </c>
      <c r="I99" s="13" t="n">
        <f aca="false">RANK(D99,$D$2:$D$145)+COUNTIF($D$2:D99,D99)-1</f>
        <v>48</v>
      </c>
    </row>
    <row r="100" customFormat="false" ht="15" hidden="false" customHeight="false" outlineLevel="0" collapsed="false">
      <c r="A100" s="14" t="n">
        <v>45901</v>
      </c>
      <c r="B100" s="15" t="s">
        <v>35</v>
      </c>
      <c r="C100" s="15" t="s">
        <v>38</v>
      </c>
      <c r="D100" s="16" t="n">
        <v>48000</v>
      </c>
      <c r="E100" s="15" t="n">
        <v>228</v>
      </c>
      <c r="F100" s="15" t="n">
        <v>15</v>
      </c>
      <c r="G100" s="16" t="n">
        <v>9640</v>
      </c>
      <c r="H100" s="17" t="n">
        <v>89.3</v>
      </c>
      <c r="I100" s="13" t="n">
        <f aca="false">RANK(D100,$D$2:$D$145)+COUNTIF($D$2:D100,D100)-1</f>
        <v>19</v>
      </c>
    </row>
    <row r="101" customFormat="false" ht="15" hidden="false" customHeight="false" outlineLevel="0" collapsed="false">
      <c r="A101" s="14" t="n">
        <v>45901</v>
      </c>
      <c r="B101" s="15" t="s">
        <v>39</v>
      </c>
      <c r="C101" s="15" t="s">
        <v>36</v>
      </c>
      <c r="D101" s="16" t="n">
        <v>47700</v>
      </c>
      <c r="E101" s="15" t="n">
        <v>206</v>
      </c>
      <c r="F101" s="15" t="n">
        <v>9</v>
      </c>
      <c r="G101" s="16" t="n">
        <v>13310</v>
      </c>
      <c r="H101" s="17" t="n">
        <v>79.1</v>
      </c>
      <c r="I101" s="13" t="n">
        <f aca="false">RANK(D101,$D$2:$D$145)+COUNTIF($D$2:D101,D101)-1</f>
        <v>20</v>
      </c>
    </row>
    <row r="102" customFormat="false" ht="15" hidden="false" customHeight="false" outlineLevel="0" collapsed="false">
      <c r="A102" s="14" t="n">
        <v>45901</v>
      </c>
      <c r="B102" s="15" t="s">
        <v>39</v>
      </c>
      <c r="C102" s="15" t="s">
        <v>37</v>
      </c>
      <c r="D102" s="16" t="n">
        <v>32300</v>
      </c>
      <c r="E102" s="15" t="n">
        <v>158</v>
      </c>
      <c r="F102" s="15" t="n">
        <v>11</v>
      </c>
      <c r="G102" s="16" t="n">
        <v>9990</v>
      </c>
      <c r="H102" s="17" t="n">
        <v>75.2</v>
      </c>
      <c r="I102" s="13" t="n">
        <f aca="false">RANK(D102,$D$2:$D$145)+COUNTIF($D$2:D102,D102)-1</f>
        <v>70</v>
      </c>
    </row>
    <row r="103" customFormat="false" ht="15" hidden="false" customHeight="false" outlineLevel="0" collapsed="false">
      <c r="A103" s="14" t="n">
        <v>45901</v>
      </c>
      <c r="B103" s="15" t="s">
        <v>39</v>
      </c>
      <c r="C103" s="15" t="s">
        <v>38</v>
      </c>
      <c r="D103" s="16" t="n">
        <v>33000</v>
      </c>
      <c r="E103" s="15" t="n">
        <v>141</v>
      </c>
      <c r="F103" s="15" t="n">
        <v>11</v>
      </c>
      <c r="G103" s="16" t="n">
        <v>6660</v>
      </c>
      <c r="H103" s="17" t="n">
        <v>79.8</v>
      </c>
      <c r="I103" s="13" t="n">
        <f aca="false">RANK(D103,$D$2:$D$145)+COUNTIF($D$2:D103,D103)-1</f>
        <v>68</v>
      </c>
    </row>
    <row r="104" customFormat="false" ht="15" hidden="false" customHeight="false" outlineLevel="0" collapsed="false">
      <c r="A104" s="14" t="n">
        <v>45901</v>
      </c>
      <c r="B104" s="15" t="s">
        <v>40</v>
      </c>
      <c r="C104" s="15" t="s">
        <v>36</v>
      </c>
      <c r="D104" s="16" t="n">
        <v>40400</v>
      </c>
      <c r="E104" s="15" t="n">
        <v>186</v>
      </c>
      <c r="F104" s="15" t="n">
        <v>12</v>
      </c>
      <c r="G104" s="16" t="n">
        <v>11520</v>
      </c>
      <c r="H104" s="17" t="n">
        <v>91.9</v>
      </c>
      <c r="I104" s="13" t="n">
        <f aca="false">RANK(D104,$D$2:$D$145)+COUNTIF($D$2:D104,D104)-1</f>
        <v>38</v>
      </c>
    </row>
    <row r="105" customFormat="false" ht="15" hidden="false" customHeight="false" outlineLevel="0" collapsed="false">
      <c r="A105" s="14" t="n">
        <v>45901</v>
      </c>
      <c r="B105" s="15" t="s">
        <v>40</v>
      </c>
      <c r="C105" s="15" t="s">
        <v>37</v>
      </c>
      <c r="D105" s="16" t="n">
        <v>23900</v>
      </c>
      <c r="E105" s="15" t="n">
        <v>93</v>
      </c>
      <c r="F105" s="15" t="n">
        <v>8</v>
      </c>
      <c r="G105" s="16" t="n">
        <v>7360</v>
      </c>
      <c r="H105" s="17" t="n">
        <v>83.2</v>
      </c>
      <c r="I105" s="13" t="n">
        <f aca="false">RANK(D105,$D$2:$D$145)+COUNTIF($D$2:D105,D105)-1</f>
        <v>105</v>
      </c>
    </row>
    <row r="106" customFormat="false" ht="15" hidden="false" customHeight="false" outlineLevel="0" collapsed="false">
      <c r="A106" s="14" t="n">
        <v>45901</v>
      </c>
      <c r="B106" s="15" t="s">
        <v>40</v>
      </c>
      <c r="C106" s="15" t="s">
        <v>38</v>
      </c>
      <c r="D106" s="16" t="n">
        <v>33900</v>
      </c>
      <c r="E106" s="15" t="n">
        <v>132</v>
      </c>
      <c r="F106" s="15" t="n">
        <v>8</v>
      </c>
      <c r="G106" s="16" t="n">
        <v>8700</v>
      </c>
      <c r="H106" s="17" t="n">
        <v>78.2</v>
      </c>
      <c r="I106" s="13" t="n">
        <f aca="false">RANK(D106,$D$2:$D$145)+COUNTIF($D$2:D106,D106)-1</f>
        <v>64</v>
      </c>
    </row>
    <row r="107" customFormat="false" ht="15" hidden="false" customHeight="false" outlineLevel="0" collapsed="false">
      <c r="A107" s="14" t="n">
        <v>45901</v>
      </c>
      <c r="B107" s="15" t="s">
        <v>41</v>
      </c>
      <c r="C107" s="15" t="s">
        <v>36</v>
      </c>
      <c r="D107" s="16" t="n">
        <v>25300</v>
      </c>
      <c r="E107" s="15" t="n">
        <v>129</v>
      </c>
      <c r="F107" s="15" t="n">
        <v>9</v>
      </c>
      <c r="G107" s="16" t="n">
        <v>7090</v>
      </c>
      <c r="H107" s="17" t="n">
        <v>84.5</v>
      </c>
      <c r="I107" s="13" t="n">
        <f aca="false">RANK(D107,$D$2:$D$145)+COUNTIF($D$2:D107,D107)-1</f>
        <v>99</v>
      </c>
    </row>
    <row r="108" customFormat="false" ht="15" hidden="false" customHeight="false" outlineLevel="0" collapsed="false">
      <c r="A108" s="14" t="n">
        <v>45901</v>
      </c>
      <c r="B108" s="15" t="s">
        <v>41</v>
      </c>
      <c r="C108" s="15" t="s">
        <v>37</v>
      </c>
      <c r="D108" s="16" t="n">
        <v>16600</v>
      </c>
      <c r="E108" s="15" t="n">
        <v>87</v>
      </c>
      <c r="F108" s="15" t="n">
        <v>7</v>
      </c>
      <c r="G108" s="16" t="n">
        <v>3670</v>
      </c>
      <c r="H108" s="17" t="n">
        <v>91.7</v>
      </c>
      <c r="I108" s="13" t="n">
        <f aca="false">RANK(D108,$D$2:$D$145)+COUNTIF($D$2:D108,D108)-1</f>
        <v>129</v>
      </c>
    </row>
    <row r="109" customFormat="false" ht="15" hidden="false" customHeight="false" outlineLevel="0" collapsed="false">
      <c r="A109" s="14" t="n">
        <v>45901</v>
      </c>
      <c r="B109" s="15" t="s">
        <v>41</v>
      </c>
      <c r="C109" s="15" t="s">
        <v>38</v>
      </c>
      <c r="D109" s="16" t="n">
        <v>18200</v>
      </c>
      <c r="E109" s="15" t="n">
        <v>92</v>
      </c>
      <c r="F109" s="15" t="n">
        <v>8</v>
      </c>
      <c r="G109" s="16" t="n">
        <v>4080</v>
      </c>
      <c r="H109" s="17" t="n">
        <v>74.5</v>
      </c>
      <c r="I109" s="13" t="n">
        <f aca="false">RANK(D109,$D$2:$D$145)+COUNTIF($D$2:D109,D109)-1</f>
        <v>124</v>
      </c>
    </row>
    <row r="110" customFormat="false" ht="15" hidden="false" customHeight="false" outlineLevel="0" collapsed="false">
      <c r="A110" s="14" t="n">
        <v>45931</v>
      </c>
      <c r="B110" s="15" t="s">
        <v>35</v>
      </c>
      <c r="C110" s="15" t="s">
        <v>36</v>
      </c>
      <c r="D110" s="16" t="n">
        <v>54000</v>
      </c>
      <c r="E110" s="15" t="n">
        <v>246</v>
      </c>
      <c r="F110" s="15" t="n">
        <v>15</v>
      </c>
      <c r="G110" s="16" t="n">
        <v>13550</v>
      </c>
      <c r="H110" s="17" t="n">
        <v>76.8</v>
      </c>
      <c r="I110" s="13" t="n">
        <f aca="false">RANK(D110,$D$2:$D$145)+COUNTIF($D$2:D110,D110)-1</f>
        <v>9</v>
      </c>
    </row>
    <row r="111" customFormat="false" ht="15" hidden="false" customHeight="false" outlineLevel="0" collapsed="false">
      <c r="A111" s="14" t="n">
        <v>45931</v>
      </c>
      <c r="B111" s="15" t="s">
        <v>35</v>
      </c>
      <c r="C111" s="15" t="s">
        <v>37</v>
      </c>
      <c r="D111" s="16" t="n">
        <v>39500</v>
      </c>
      <c r="E111" s="15" t="n">
        <v>192</v>
      </c>
      <c r="F111" s="15" t="n">
        <v>16</v>
      </c>
      <c r="G111" s="16" t="n">
        <v>12330</v>
      </c>
      <c r="H111" s="17" t="n">
        <v>89</v>
      </c>
      <c r="I111" s="13" t="n">
        <f aca="false">RANK(D111,$D$2:$D$145)+COUNTIF($D$2:D111,D111)-1</f>
        <v>43</v>
      </c>
    </row>
    <row r="112" customFormat="false" ht="15" hidden="false" customHeight="false" outlineLevel="0" collapsed="false">
      <c r="A112" s="14" t="n">
        <v>45931</v>
      </c>
      <c r="B112" s="15" t="s">
        <v>35</v>
      </c>
      <c r="C112" s="15" t="s">
        <v>38</v>
      </c>
      <c r="D112" s="16" t="n">
        <v>53800</v>
      </c>
      <c r="E112" s="15" t="n">
        <v>284</v>
      </c>
      <c r="F112" s="15" t="n">
        <v>25</v>
      </c>
      <c r="G112" s="16" t="n">
        <v>10650</v>
      </c>
      <c r="H112" s="17" t="n">
        <v>92</v>
      </c>
      <c r="I112" s="13" t="n">
        <f aca="false">RANK(D112,$D$2:$D$145)+COUNTIF($D$2:D112,D112)-1</f>
        <v>10</v>
      </c>
    </row>
    <row r="113" customFormat="false" ht="15" hidden="false" customHeight="false" outlineLevel="0" collapsed="false">
      <c r="A113" s="14" t="n">
        <v>45931</v>
      </c>
      <c r="B113" s="15" t="s">
        <v>39</v>
      </c>
      <c r="C113" s="15" t="s">
        <v>36</v>
      </c>
      <c r="D113" s="16" t="n">
        <v>43900</v>
      </c>
      <c r="E113" s="15" t="n">
        <v>209</v>
      </c>
      <c r="F113" s="15" t="n">
        <v>12</v>
      </c>
      <c r="G113" s="16" t="n">
        <v>7570</v>
      </c>
      <c r="H113" s="17" t="n">
        <v>85.8</v>
      </c>
      <c r="I113" s="13" t="n">
        <f aca="false">RANK(D113,$D$2:$D$145)+COUNTIF($D$2:D113,D113)-1</f>
        <v>29</v>
      </c>
    </row>
    <row r="114" customFormat="false" ht="15" hidden="false" customHeight="false" outlineLevel="0" collapsed="false">
      <c r="A114" s="14" t="n">
        <v>45931</v>
      </c>
      <c r="B114" s="15" t="s">
        <v>39</v>
      </c>
      <c r="C114" s="15" t="s">
        <v>37</v>
      </c>
      <c r="D114" s="16" t="n">
        <v>29300</v>
      </c>
      <c r="E114" s="15" t="n">
        <v>137</v>
      </c>
      <c r="F114" s="15" t="n">
        <v>7</v>
      </c>
      <c r="G114" s="16" t="n">
        <v>8810</v>
      </c>
      <c r="H114" s="17" t="n">
        <v>76</v>
      </c>
      <c r="I114" s="13" t="n">
        <f aca="false">RANK(D114,$D$2:$D$145)+COUNTIF($D$2:D114,D114)-1</f>
        <v>82</v>
      </c>
    </row>
    <row r="115" customFormat="false" ht="15" hidden="false" customHeight="false" outlineLevel="0" collapsed="false">
      <c r="A115" s="14" t="n">
        <v>45931</v>
      </c>
      <c r="B115" s="15" t="s">
        <v>39</v>
      </c>
      <c r="C115" s="15" t="s">
        <v>38</v>
      </c>
      <c r="D115" s="16" t="n">
        <v>39600</v>
      </c>
      <c r="E115" s="15" t="n">
        <v>195</v>
      </c>
      <c r="F115" s="15" t="n">
        <v>17</v>
      </c>
      <c r="G115" s="16" t="n">
        <v>10290</v>
      </c>
      <c r="H115" s="17" t="n">
        <v>79.3</v>
      </c>
      <c r="I115" s="13" t="n">
        <f aca="false">RANK(D115,$D$2:$D$145)+COUNTIF($D$2:D115,D115)-1</f>
        <v>41</v>
      </c>
    </row>
    <row r="116" customFormat="false" ht="15" hidden="false" customHeight="false" outlineLevel="0" collapsed="false">
      <c r="A116" s="14" t="n">
        <v>45931</v>
      </c>
      <c r="B116" s="15" t="s">
        <v>40</v>
      </c>
      <c r="C116" s="15" t="s">
        <v>36</v>
      </c>
      <c r="D116" s="16" t="n">
        <v>40900</v>
      </c>
      <c r="E116" s="15" t="n">
        <v>210</v>
      </c>
      <c r="F116" s="15" t="n">
        <v>12</v>
      </c>
      <c r="G116" s="16" t="n">
        <v>7190</v>
      </c>
      <c r="H116" s="17" t="n">
        <v>91.7</v>
      </c>
      <c r="I116" s="13" t="n">
        <f aca="false">RANK(D116,$D$2:$D$145)+COUNTIF($D$2:D116,D116)-1</f>
        <v>35</v>
      </c>
    </row>
    <row r="117" customFormat="false" ht="15" hidden="false" customHeight="false" outlineLevel="0" collapsed="false">
      <c r="A117" s="14" t="n">
        <v>45931</v>
      </c>
      <c r="B117" s="15" t="s">
        <v>40</v>
      </c>
      <c r="C117" s="15" t="s">
        <v>37</v>
      </c>
      <c r="D117" s="16" t="n">
        <v>29200</v>
      </c>
      <c r="E117" s="15" t="n">
        <v>127</v>
      </c>
      <c r="F117" s="15" t="n">
        <v>11</v>
      </c>
      <c r="G117" s="16" t="n">
        <v>5170</v>
      </c>
      <c r="H117" s="17" t="n">
        <v>85</v>
      </c>
      <c r="I117" s="13" t="n">
        <f aca="false">RANK(D117,$D$2:$D$145)+COUNTIF($D$2:D117,D117)-1</f>
        <v>85</v>
      </c>
    </row>
    <row r="118" customFormat="false" ht="15" hidden="false" customHeight="false" outlineLevel="0" collapsed="false">
      <c r="A118" s="14" t="n">
        <v>45931</v>
      </c>
      <c r="B118" s="15" t="s">
        <v>40</v>
      </c>
      <c r="C118" s="15" t="s">
        <v>38</v>
      </c>
      <c r="D118" s="16" t="n">
        <v>33400</v>
      </c>
      <c r="E118" s="15" t="n">
        <v>182</v>
      </c>
      <c r="F118" s="15" t="n">
        <v>14</v>
      </c>
      <c r="G118" s="16" t="n">
        <v>7640</v>
      </c>
      <c r="H118" s="17" t="n">
        <v>89.1</v>
      </c>
      <c r="I118" s="13" t="n">
        <f aca="false">RANK(D118,$D$2:$D$145)+COUNTIF($D$2:D118,D118)-1</f>
        <v>67</v>
      </c>
    </row>
    <row r="119" customFormat="false" ht="15" hidden="false" customHeight="false" outlineLevel="0" collapsed="false">
      <c r="A119" s="14" t="n">
        <v>45931</v>
      </c>
      <c r="B119" s="15" t="s">
        <v>41</v>
      </c>
      <c r="C119" s="15" t="s">
        <v>36</v>
      </c>
      <c r="D119" s="16" t="n">
        <v>23600</v>
      </c>
      <c r="E119" s="15" t="n">
        <v>116</v>
      </c>
      <c r="F119" s="15" t="n">
        <v>5</v>
      </c>
      <c r="G119" s="16" t="n">
        <v>4210</v>
      </c>
      <c r="H119" s="17" t="n">
        <v>76.5</v>
      </c>
      <c r="I119" s="13" t="n">
        <f aca="false">RANK(D119,$D$2:$D$145)+COUNTIF($D$2:D119,D119)-1</f>
        <v>107</v>
      </c>
    </row>
    <row r="120" customFormat="false" ht="15" hidden="false" customHeight="false" outlineLevel="0" collapsed="false">
      <c r="A120" s="14" t="n">
        <v>45931</v>
      </c>
      <c r="B120" s="15" t="s">
        <v>41</v>
      </c>
      <c r="C120" s="15" t="s">
        <v>37</v>
      </c>
      <c r="D120" s="16" t="n">
        <v>14700</v>
      </c>
      <c r="E120" s="15" t="n">
        <v>71</v>
      </c>
      <c r="F120" s="15" t="n">
        <v>4</v>
      </c>
      <c r="G120" s="16" t="n">
        <v>2870</v>
      </c>
      <c r="H120" s="17" t="n">
        <v>93.5</v>
      </c>
      <c r="I120" s="13" t="n">
        <f aca="false">RANK(D120,$D$2:$D$145)+COUNTIF($D$2:D120,D120)-1</f>
        <v>135</v>
      </c>
    </row>
    <row r="121" customFormat="false" ht="15" hidden="false" customHeight="false" outlineLevel="0" collapsed="false">
      <c r="A121" s="14" t="n">
        <v>45931</v>
      </c>
      <c r="B121" s="15" t="s">
        <v>41</v>
      </c>
      <c r="C121" s="15" t="s">
        <v>38</v>
      </c>
      <c r="D121" s="16" t="n">
        <v>16200</v>
      </c>
      <c r="E121" s="15" t="n">
        <v>70</v>
      </c>
      <c r="F121" s="15" t="n">
        <v>4</v>
      </c>
      <c r="G121" s="16" t="n">
        <v>3480</v>
      </c>
      <c r="H121" s="17" t="n">
        <v>81.9</v>
      </c>
      <c r="I121" s="13" t="n">
        <f aca="false">RANK(D121,$D$2:$D$145)+COUNTIF($D$2:D121,D121)-1</f>
        <v>130</v>
      </c>
    </row>
    <row r="122" customFormat="false" ht="15" hidden="false" customHeight="false" outlineLevel="0" collapsed="false">
      <c r="A122" s="14" t="n">
        <v>45962</v>
      </c>
      <c r="B122" s="15" t="s">
        <v>35</v>
      </c>
      <c r="C122" s="15" t="s">
        <v>36</v>
      </c>
      <c r="D122" s="16" t="n">
        <v>58000</v>
      </c>
      <c r="E122" s="15" t="n">
        <v>301</v>
      </c>
      <c r="F122" s="15" t="n">
        <v>15</v>
      </c>
      <c r="G122" s="16" t="n">
        <v>10440</v>
      </c>
      <c r="H122" s="17" t="n">
        <v>83.9</v>
      </c>
      <c r="I122" s="13" t="n">
        <f aca="false">RANK(D122,$D$2:$D$145)+COUNTIF($D$2:D122,D122)-1</f>
        <v>5</v>
      </c>
    </row>
    <row r="123" customFormat="false" ht="15" hidden="false" customHeight="false" outlineLevel="0" collapsed="false">
      <c r="A123" s="14" t="n">
        <v>45962</v>
      </c>
      <c r="B123" s="15" t="s">
        <v>35</v>
      </c>
      <c r="C123" s="15" t="s">
        <v>37</v>
      </c>
      <c r="D123" s="16" t="n">
        <v>38600</v>
      </c>
      <c r="E123" s="15" t="n">
        <v>153</v>
      </c>
      <c r="F123" s="15" t="n">
        <v>14</v>
      </c>
      <c r="G123" s="16" t="n">
        <v>8830</v>
      </c>
      <c r="H123" s="17" t="n">
        <v>76.8</v>
      </c>
      <c r="I123" s="13" t="n">
        <f aca="false">RANK(D123,$D$2:$D$145)+COUNTIF($D$2:D123,D123)-1</f>
        <v>45</v>
      </c>
    </row>
    <row r="124" customFormat="false" ht="15" hidden="false" customHeight="false" outlineLevel="0" collapsed="false">
      <c r="A124" s="14" t="n">
        <v>45962</v>
      </c>
      <c r="B124" s="15" t="s">
        <v>35</v>
      </c>
      <c r="C124" s="15" t="s">
        <v>38</v>
      </c>
      <c r="D124" s="16" t="n">
        <v>45000</v>
      </c>
      <c r="E124" s="15" t="n">
        <v>240</v>
      </c>
      <c r="F124" s="15" t="n">
        <v>14</v>
      </c>
      <c r="G124" s="16" t="n">
        <v>13090</v>
      </c>
      <c r="H124" s="17" t="n">
        <v>78.8</v>
      </c>
      <c r="I124" s="13" t="n">
        <f aca="false">RANK(D124,$D$2:$D$145)+COUNTIF($D$2:D124,D124)-1</f>
        <v>25</v>
      </c>
    </row>
    <row r="125" customFormat="false" ht="15" hidden="false" customHeight="false" outlineLevel="0" collapsed="false">
      <c r="A125" s="14" t="n">
        <v>45962</v>
      </c>
      <c r="B125" s="15" t="s">
        <v>39</v>
      </c>
      <c r="C125" s="15" t="s">
        <v>36</v>
      </c>
      <c r="D125" s="16" t="n">
        <v>44100</v>
      </c>
      <c r="E125" s="15" t="n">
        <v>196</v>
      </c>
      <c r="F125" s="15" t="n">
        <v>17</v>
      </c>
      <c r="G125" s="16" t="n">
        <v>8560</v>
      </c>
      <c r="H125" s="17" t="n">
        <v>82.3</v>
      </c>
      <c r="I125" s="13" t="n">
        <f aca="false">RANK(D125,$D$2:$D$145)+COUNTIF($D$2:D125,D125)-1</f>
        <v>28</v>
      </c>
    </row>
    <row r="126" customFormat="false" ht="15" hidden="false" customHeight="false" outlineLevel="0" collapsed="false">
      <c r="A126" s="14" t="n">
        <v>45962</v>
      </c>
      <c r="B126" s="15" t="s">
        <v>39</v>
      </c>
      <c r="C126" s="15" t="s">
        <v>37</v>
      </c>
      <c r="D126" s="16" t="n">
        <v>30300</v>
      </c>
      <c r="E126" s="15" t="n">
        <v>137</v>
      </c>
      <c r="F126" s="15" t="n">
        <v>8</v>
      </c>
      <c r="G126" s="16" t="n">
        <v>7430</v>
      </c>
      <c r="H126" s="17" t="n">
        <v>75.2</v>
      </c>
      <c r="I126" s="13" t="n">
        <f aca="false">RANK(D126,$D$2:$D$145)+COUNTIF($D$2:D126,D126)-1</f>
        <v>78</v>
      </c>
    </row>
    <row r="127" customFormat="false" ht="15" hidden="false" customHeight="false" outlineLevel="0" collapsed="false">
      <c r="A127" s="14" t="n">
        <v>45962</v>
      </c>
      <c r="B127" s="15" t="s">
        <v>39</v>
      </c>
      <c r="C127" s="15" t="s">
        <v>38</v>
      </c>
      <c r="D127" s="16" t="n">
        <v>34100</v>
      </c>
      <c r="E127" s="15" t="n">
        <v>132</v>
      </c>
      <c r="F127" s="15" t="n">
        <v>6</v>
      </c>
      <c r="G127" s="16" t="n">
        <v>7560</v>
      </c>
      <c r="H127" s="17" t="n">
        <v>86.6</v>
      </c>
      <c r="I127" s="13" t="n">
        <f aca="false">RANK(D127,$D$2:$D$145)+COUNTIF($D$2:D127,D127)-1</f>
        <v>62</v>
      </c>
    </row>
    <row r="128" customFormat="false" ht="15" hidden="false" customHeight="false" outlineLevel="0" collapsed="false">
      <c r="A128" s="14" t="n">
        <v>45962</v>
      </c>
      <c r="B128" s="15" t="s">
        <v>40</v>
      </c>
      <c r="C128" s="15" t="s">
        <v>36</v>
      </c>
      <c r="D128" s="16" t="n">
        <v>45900</v>
      </c>
      <c r="E128" s="15" t="n">
        <v>233</v>
      </c>
      <c r="F128" s="15" t="n">
        <v>12</v>
      </c>
      <c r="G128" s="16" t="n">
        <v>11930</v>
      </c>
      <c r="H128" s="17" t="n">
        <v>82</v>
      </c>
      <c r="I128" s="13" t="n">
        <f aca="false">RANK(D128,$D$2:$D$145)+COUNTIF($D$2:D128,D128)-1</f>
        <v>23</v>
      </c>
    </row>
    <row r="129" customFormat="false" ht="15" hidden="false" customHeight="false" outlineLevel="0" collapsed="false">
      <c r="A129" s="14" t="n">
        <v>45962</v>
      </c>
      <c r="B129" s="15" t="s">
        <v>40</v>
      </c>
      <c r="C129" s="15" t="s">
        <v>37</v>
      </c>
      <c r="D129" s="16" t="n">
        <v>26600</v>
      </c>
      <c r="E129" s="15" t="n">
        <v>104</v>
      </c>
      <c r="F129" s="15" t="n">
        <v>9</v>
      </c>
      <c r="G129" s="16" t="n">
        <v>4860</v>
      </c>
      <c r="H129" s="17" t="n">
        <v>74.4</v>
      </c>
      <c r="I129" s="13" t="n">
        <f aca="false">RANK(D129,$D$2:$D$145)+COUNTIF($D$2:D129,D129)-1</f>
        <v>90</v>
      </c>
    </row>
    <row r="130" customFormat="false" ht="15" hidden="false" customHeight="false" outlineLevel="0" collapsed="false">
      <c r="A130" s="14" t="n">
        <v>45962</v>
      </c>
      <c r="B130" s="15" t="s">
        <v>40</v>
      </c>
      <c r="C130" s="15" t="s">
        <v>38</v>
      </c>
      <c r="D130" s="16" t="n">
        <v>27400</v>
      </c>
      <c r="E130" s="15" t="n">
        <v>116</v>
      </c>
      <c r="F130" s="15" t="n">
        <v>10</v>
      </c>
      <c r="G130" s="16" t="n">
        <v>6180</v>
      </c>
      <c r="H130" s="17" t="n">
        <v>85.7</v>
      </c>
      <c r="I130" s="13" t="n">
        <f aca="false">RANK(D130,$D$2:$D$145)+COUNTIF($D$2:D130,D130)-1</f>
        <v>88</v>
      </c>
    </row>
    <row r="131" customFormat="false" ht="15" hidden="false" customHeight="false" outlineLevel="0" collapsed="false">
      <c r="A131" s="14" t="n">
        <v>45962</v>
      </c>
      <c r="B131" s="15" t="s">
        <v>41</v>
      </c>
      <c r="C131" s="15" t="s">
        <v>36</v>
      </c>
      <c r="D131" s="16" t="n">
        <v>19600</v>
      </c>
      <c r="E131" s="15" t="n">
        <v>93</v>
      </c>
      <c r="F131" s="15" t="n">
        <v>8</v>
      </c>
      <c r="G131" s="16" t="n">
        <v>3670</v>
      </c>
      <c r="H131" s="17" t="n">
        <v>91.1</v>
      </c>
      <c r="I131" s="13" t="n">
        <f aca="false">RANK(D131,$D$2:$D$145)+COUNTIF($D$2:D131,D131)-1</f>
        <v>118</v>
      </c>
    </row>
    <row r="132" customFormat="false" ht="15" hidden="false" customHeight="false" outlineLevel="0" collapsed="false">
      <c r="A132" s="14" t="n">
        <v>45962</v>
      </c>
      <c r="B132" s="15" t="s">
        <v>41</v>
      </c>
      <c r="C132" s="15" t="s">
        <v>37</v>
      </c>
      <c r="D132" s="16" t="n">
        <v>17200</v>
      </c>
      <c r="E132" s="15" t="n">
        <v>86</v>
      </c>
      <c r="F132" s="15" t="n">
        <v>4</v>
      </c>
      <c r="G132" s="16" t="n">
        <v>4780</v>
      </c>
      <c r="H132" s="17" t="n">
        <v>84.4</v>
      </c>
      <c r="I132" s="13" t="n">
        <f aca="false">RANK(D132,$D$2:$D$145)+COUNTIF($D$2:D132,D132)-1</f>
        <v>126</v>
      </c>
    </row>
    <row r="133" customFormat="false" ht="15" hidden="false" customHeight="false" outlineLevel="0" collapsed="false">
      <c r="A133" s="14" t="n">
        <v>45962</v>
      </c>
      <c r="B133" s="15" t="s">
        <v>41</v>
      </c>
      <c r="C133" s="15" t="s">
        <v>38</v>
      </c>
      <c r="D133" s="16" t="n">
        <v>18700</v>
      </c>
      <c r="E133" s="15" t="n">
        <v>73</v>
      </c>
      <c r="F133" s="15" t="n">
        <v>6</v>
      </c>
      <c r="G133" s="16" t="n">
        <v>3830</v>
      </c>
      <c r="H133" s="17" t="n">
        <v>89.3</v>
      </c>
      <c r="I133" s="13" t="n">
        <f aca="false">RANK(D133,$D$2:$D$145)+COUNTIF($D$2:D133,D133)-1</f>
        <v>121</v>
      </c>
    </row>
    <row r="134" customFormat="false" ht="15" hidden="false" customHeight="false" outlineLevel="0" collapsed="false">
      <c r="A134" s="14" t="n">
        <v>45992</v>
      </c>
      <c r="B134" s="15" t="s">
        <v>35</v>
      </c>
      <c r="C134" s="15" t="s">
        <v>36</v>
      </c>
      <c r="D134" s="16" t="n">
        <v>64600</v>
      </c>
      <c r="E134" s="15" t="n">
        <v>288</v>
      </c>
      <c r="F134" s="15" t="n">
        <v>12</v>
      </c>
      <c r="G134" s="16" t="n">
        <v>12340</v>
      </c>
      <c r="H134" s="17" t="n">
        <v>78.7</v>
      </c>
      <c r="I134" s="13" t="n">
        <f aca="false">RANK(D134,$D$2:$D$145)+COUNTIF($D$2:D134,D134)-1</f>
        <v>2</v>
      </c>
    </row>
    <row r="135" customFormat="false" ht="15" hidden="false" customHeight="false" outlineLevel="0" collapsed="false">
      <c r="A135" s="14" t="n">
        <v>45992</v>
      </c>
      <c r="B135" s="15" t="s">
        <v>35</v>
      </c>
      <c r="C135" s="15" t="s">
        <v>37</v>
      </c>
      <c r="D135" s="16" t="n">
        <v>48200</v>
      </c>
      <c r="E135" s="15" t="n">
        <v>208</v>
      </c>
      <c r="F135" s="15" t="n">
        <v>11</v>
      </c>
      <c r="G135" s="16" t="n">
        <v>13640</v>
      </c>
      <c r="H135" s="17" t="n">
        <v>79</v>
      </c>
      <c r="I135" s="13" t="n">
        <f aca="false">RANK(D135,$D$2:$D$145)+COUNTIF($D$2:D135,D135)-1</f>
        <v>18</v>
      </c>
    </row>
    <row r="136" customFormat="false" ht="15" hidden="false" customHeight="false" outlineLevel="0" collapsed="false">
      <c r="A136" s="14" t="n">
        <v>45992</v>
      </c>
      <c r="B136" s="15" t="s">
        <v>35</v>
      </c>
      <c r="C136" s="15" t="s">
        <v>38</v>
      </c>
      <c r="D136" s="16" t="n">
        <v>52400</v>
      </c>
      <c r="E136" s="15" t="n">
        <v>222</v>
      </c>
      <c r="F136" s="15" t="n">
        <v>10</v>
      </c>
      <c r="G136" s="16" t="n">
        <v>15490</v>
      </c>
      <c r="H136" s="17" t="n">
        <v>84.5</v>
      </c>
      <c r="I136" s="13" t="n">
        <f aca="false">RANK(D136,$D$2:$D$145)+COUNTIF($D$2:D136,D136)-1</f>
        <v>13</v>
      </c>
    </row>
    <row r="137" customFormat="false" ht="15" hidden="false" customHeight="false" outlineLevel="0" collapsed="false">
      <c r="A137" s="14" t="n">
        <v>45992</v>
      </c>
      <c r="B137" s="15" t="s">
        <v>39</v>
      </c>
      <c r="C137" s="15" t="s">
        <v>36</v>
      </c>
      <c r="D137" s="16" t="n">
        <v>49500</v>
      </c>
      <c r="E137" s="15" t="n">
        <v>235</v>
      </c>
      <c r="F137" s="15" t="n">
        <v>12</v>
      </c>
      <c r="G137" s="16" t="n">
        <v>10390</v>
      </c>
      <c r="H137" s="17" t="n">
        <v>74.2</v>
      </c>
      <c r="I137" s="13" t="n">
        <f aca="false">RANK(D137,$D$2:$D$145)+COUNTIF($D$2:D137,D137)-1</f>
        <v>16</v>
      </c>
    </row>
    <row r="138" customFormat="false" ht="15" hidden="false" customHeight="false" outlineLevel="0" collapsed="false">
      <c r="A138" s="14" t="n">
        <v>45992</v>
      </c>
      <c r="B138" s="15" t="s">
        <v>39</v>
      </c>
      <c r="C138" s="15" t="s">
        <v>37</v>
      </c>
      <c r="D138" s="16" t="n">
        <v>29700</v>
      </c>
      <c r="E138" s="15" t="n">
        <v>137</v>
      </c>
      <c r="F138" s="15" t="n">
        <v>12</v>
      </c>
      <c r="G138" s="16" t="n">
        <v>6090</v>
      </c>
      <c r="H138" s="17" t="n">
        <v>91.7</v>
      </c>
      <c r="I138" s="13" t="n">
        <f aca="false">RANK(D138,$D$2:$D$145)+COUNTIF($D$2:D138,D138)-1</f>
        <v>81</v>
      </c>
    </row>
    <row r="139" customFormat="false" ht="15" hidden="false" customHeight="false" outlineLevel="0" collapsed="false">
      <c r="A139" s="14" t="n">
        <v>45992</v>
      </c>
      <c r="B139" s="15" t="s">
        <v>39</v>
      </c>
      <c r="C139" s="15" t="s">
        <v>38</v>
      </c>
      <c r="D139" s="16" t="n">
        <v>36900</v>
      </c>
      <c r="E139" s="15" t="n">
        <v>186</v>
      </c>
      <c r="F139" s="15" t="n">
        <v>10</v>
      </c>
      <c r="G139" s="16" t="n">
        <v>6480</v>
      </c>
      <c r="H139" s="17" t="n">
        <v>88.1</v>
      </c>
      <c r="I139" s="13" t="n">
        <f aca="false">RANK(D139,$D$2:$D$145)+COUNTIF($D$2:D139,D139)-1</f>
        <v>54</v>
      </c>
    </row>
    <row r="140" customFormat="false" ht="15" hidden="false" customHeight="false" outlineLevel="0" collapsed="false">
      <c r="A140" s="14" t="n">
        <v>45992</v>
      </c>
      <c r="B140" s="15" t="s">
        <v>40</v>
      </c>
      <c r="C140" s="15" t="s">
        <v>36</v>
      </c>
      <c r="D140" s="16" t="n">
        <v>39600</v>
      </c>
      <c r="E140" s="15" t="n">
        <v>218</v>
      </c>
      <c r="F140" s="15" t="n">
        <v>14</v>
      </c>
      <c r="G140" s="16" t="n">
        <v>7990</v>
      </c>
      <c r="H140" s="17" t="n">
        <v>82.4</v>
      </c>
      <c r="I140" s="13" t="n">
        <f aca="false">RANK(D140,$D$2:$D$145)+COUNTIF($D$2:D140,D140)-1</f>
        <v>42</v>
      </c>
    </row>
    <row r="141" customFormat="false" ht="15" hidden="false" customHeight="false" outlineLevel="0" collapsed="false">
      <c r="A141" s="14" t="n">
        <v>45992</v>
      </c>
      <c r="B141" s="15" t="s">
        <v>40</v>
      </c>
      <c r="C141" s="15" t="s">
        <v>37</v>
      </c>
      <c r="D141" s="16" t="n">
        <v>25500</v>
      </c>
      <c r="E141" s="15" t="n">
        <v>109</v>
      </c>
      <c r="F141" s="15" t="n">
        <v>9</v>
      </c>
      <c r="G141" s="16" t="n">
        <v>6730</v>
      </c>
      <c r="H141" s="17" t="n">
        <v>74.7</v>
      </c>
      <c r="I141" s="13" t="n">
        <f aca="false">RANK(D141,$D$2:$D$145)+COUNTIF($D$2:D141,D141)-1</f>
        <v>97</v>
      </c>
    </row>
    <row r="142" customFormat="false" ht="15" hidden="false" customHeight="false" outlineLevel="0" collapsed="false">
      <c r="A142" s="14" t="n">
        <v>45992</v>
      </c>
      <c r="B142" s="15" t="s">
        <v>40</v>
      </c>
      <c r="C142" s="15" t="s">
        <v>38</v>
      </c>
      <c r="D142" s="16" t="n">
        <v>30800</v>
      </c>
      <c r="E142" s="15" t="n">
        <v>144</v>
      </c>
      <c r="F142" s="15" t="n">
        <v>11</v>
      </c>
      <c r="G142" s="16" t="n">
        <v>8290</v>
      </c>
      <c r="H142" s="17" t="n">
        <v>89.9</v>
      </c>
      <c r="I142" s="13" t="n">
        <f aca="false">RANK(D142,$D$2:$D$145)+COUNTIF($D$2:D142,D142)-1</f>
        <v>77</v>
      </c>
    </row>
    <row r="143" customFormat="false" ht="15" hidden="false" customHeight="false" outlineLevel="0" collapsed="false">
      <c r="A143" s="14" t="n">
        <v>45992</v>
      </c>
      <c r="B143" s="15" t="s">
        <v>41</v>
      </c>
      <c r="C143" s="15" t="s">
        <v>36</v>
      </c>
      <c r="D143" s="16" t="n">
        <v>25000</v>
      </c>
      <c r="E143" s="15" t="n">
        <v>113</v>
      </c>
      <c r="F143" s="15" t="n">
        <v>6</v>
      </c>
      <c r="G143" s="16" t="n">
        <v>4370</v>
      </c>
      <c r="H143" s="17" t="n">
        <v>80.2</v>
      </c>
      <c r="I143" s="13" t="n">
        <f aca="false">RANK(D143,$D$2:$D$145)+COUNTIF($D$2:D143,D143)-1</f>
        <v>100</v>
      </c>
    </row>
    <row r="144" customFormat="false" ht="15" hidden="false" customHeight="false" outlineLevel="0" collapsed="false">
      <c r="A144" s="14" t="n">
        <v>45992</v>
      </c>
      <c r="B144" s="15" t="s">
        <v>41</v>
      </c>
      <c r="C144" s="15" t="s">
        <v>37</v>
      </c>
      <c r="D144" s="16" t="n">
        <v>16700</v>
      </c>
      <c r="E144" s="15" t="n">
        <v>84</v>
      </c>
      <c r="F144" s="15" t="n">
        <v>4</v>
      </c>
      <c r="G144" s="16" t="n">
        <v>3230</v>
      </c>
      <c r="H144" s="17" t="n">
        <v>79.9</v>
      </c>
      <c r="I144" s="13" t="n">
        <f aca="false">RANK(D144,$D$2:$D$145)+COUNTIF($D$2:D144,D144)-1</f>
        <v>128</v>
      </c>
    </row>
    <row r="145" customFormat="false" ht="15" hidden="false" customHeight="false" outlineLevel="0" collapsed="false">
      <c r="A145" s="14" t="n">
        <v>45992</v>
      </c>
      <c r="B145" s="15" t="s">
        <v>41</v>
      </c>
      <c r="C145" s="15" t="s">
        <v>38</v>
      </c>
      <c r="D145" s="16" t="n">
        <v>20400</v>
      </c>
      <c r="E145" s="15" t="n">
        <v>93</v>
      </c>
      <c r="F145" s="15" t="n">
        <v>5</v>
      </c>
      <c r="G145" s="16" t="n">
        <v>5400</v>
      </c>
      <c r="H145" s="17" t="n">
        <v>82.3</v>
      </c>
      <c r="I145" s="13" t="n">
        <f aca="false">RANK(D145,$D$2:$D$145)+COUNTIF($D$2:D145,D145)-1</f>
        <v>116</v>
      </c>
    </row>
  </sheetData>
  <conditionalFormatting sqref="D2:D145">
    <cfRule type="colorScale" priority="2">
      <colorScale>
        <cfvo type="min" val="0"/>
        <cfvo type="max" val="0"/>
        <color rgb="FFF7C1C1"/>
        <color rgb="FFC0DD97"/>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8C46F"/>
    <pageSetUpPr fitToPage="false"/>
  </sheetPr>
  <dimension ref="A1:R44"/>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
    <col collapsed="false" customWidth="true" hidden="false" outlineLevel="0" max="7" min="2" style="0" width="15"/>
    <col collapsed="false" customWidth="true" hidden="false" outlineLevel="0" max="10" min="8" style="0" width="3"/>
    <col collapsed="false" customWidth="true" hidden="false" outlineLevel="0" max="12" min="11" style="0" width="12"/>
    <col collapsed="false" customWidth="true" hidden="false" outlineLevel="0" max="13" min="13" style="0" width="3"/>
    <col collapsed="false" customWidth="true" hidden="false" outlineLevel="0" max="15" min="14" style="0" width="12"/>
    <col collapsed="false" customWidth="true" hidden="false" outlineLevel="0" max="16" min="16" style="0" width="3"/>
    <col collapsed="false" customWidth="true" hidden="false" outlineLevel="0" max="17" min="17" style="0" width="12"/>
  </cols>
  <sheetData>
    <row r="1" customFormat="false" ht="18" hidden="false" customHeight="true" outlineLevel="0" collapsed="false">
      <c r="A1" s="18"/>
      <c r="B1" s="18"/>
      <c r="C1" s="18"/>
      <c r="D1" s="18"/>
      <c r="E1" s="18"/>
      <c r="F1" s="18"/>
      <c r="G1" s="18"/>
      <c r="H1" s="18"/>
      <c r="I1" s="18"/>
      <c r="J1" s="18"/>
      <c r="K1" s="19" t="s">
        <v>42</v>
      </c>
      <c r="L1" s="19" t="s">
        <v>29</v>
      </c>
      <c r="M1" s="18"/>
      <c r="N1" s="19" t="s">
        <v>27</v>
      </c>
      <c r="O1" s="19" t="s">
        <v>29</v>
      </c>
      <c r="P1" s="18"/>
      <c r="Q1" s="19" t="s">
        <v>28</v>
      </c>
      <c r="R1" s="20" t="s">
        <v>29</v>
      </c>
    </row>
    <row r="2" customFormat="false" ht="18" hidden="false" customHeight="true" outlineLevel="0" collapsed="false">
      <c r="A2" s="18"/>
      <c r="B2" s="21" t="s">
        <v>43</v>
      </c>
      <c r="C2" s="18"/>
      <c r="D2" s="18"/>
      <c r="E2" s="18"/>
      <c r="F2" s="18"/>
      <c r="G2" s="18"/>
      <c r="H2" s="18"/>
      <c r="I2" s="18"/>
      <c r="J2" s="18"/>
      <c r="K2" s="22" t="n">
        <v>45658</v>
      </c>
      <c r="L2" s="23" t="n">
        <f aca="false">SUMPRODUCT(('Sample Data'!$A$2:$A$145=K2)*(('Sample Data'!$B$2:$B$145=$B$6)+($B$6="All")&gt;0)*(('Sample Data'!$C$2:$C$145=$E$6)+($E$6="All")&gt;0)*'Sample Data'!$D$2:$D$145)</f>
        <v>350700</v>
      </c>
      <c r="M2" s="18"/>
      <c r="N2" s="19" t="s">
        <v>35</v>
      </c>
      <c r="O2" s="23" t="n">
        <f aca="false">SUMPRODUCT(('Sample Data'!$B$2:$B$145=N2)*(('Sample Data'!$C$2:$C$145=$E$6)+($E$6="All")&gt;0)*'Sample Data'!$D$2:$D$145)</f>
        <v>1682800</v>
      </c>
      <c r="P2" s="18"/>
      <c r="Q2" s="19" t="s">
        <v>36</v>
      </c>
      <c r="R2" s="24" t="n">
        <f aca="false">SUMPRODUCT(('Sample Data'!$C$2:$C$145=Q2)*(('Sample Data'!$B$2:$B$145=$B$6)+($B$6="All")&gt;0)*'Sample Data'!$D$2:$D$145)</f>
        <v>1937500</v>
      </c>
    </row>
    <row r="3" customFormat="false" ht="18" hidden="false" customHeight="true" outlineLevel="0" collapsed="false">
      <c r="A3" s="18"/>
      <c r="B3" s="25" t="s">
        <v>44</v>
      </c>
      <c r="C3" s="18"/>
      <c r="D3" s="18"/>
      <c r="E3" s="18"/>
      <c r="F3" s="18"/>
      <c r="G3" s="18"/>
      <c r="H3" s="18"/>
      <c r="I3" s="18"/>
      <c r="J3" s="18"/>
      <c r="K3" s="22" t="n">
        <v>45689</v>
      </c>
      <c r="L3" s="23" t="n">
        <f aca="false">SUMPRODUCT(('Sample Data'!$A$2:$A$145=K3)*(('Sample Data'!$B$2:$B$145=$B$6)+($B$6="All")&gt;0)*(('Sample Data'!$C$2:$C$145=$E$6)+($E$6="All")&gt;0)*'Sample Data'!$D$2:$D$145)</f>
        <v>356800</v>
      </c>
      <c r="M3" s="18"/>
      <c r="N3" s="19" t="s">
        <v>39</v>
      </c>
      <c r="O3" s="23" t="n">
        <f aca="false">SUMPRODUCT(('Sample Data'!$B$2:$B$145=N3)*(('Sample Data'!$C$2:$C$145=$E$6)+($E$6="All")&gt;0)*'Sample Data'!$D$2:$D$145)</f>
        <v>1258800</v>
      </c>
      <c r="P3" s="18"/>
      <c r="Q3" s="19" t="s">
        <v>37</v>
      </c>
      <c r="R3" s="24" t="n">
        <f aca="false">SUMPRODUCT(('Sample Data'!$C$2:$C$145=Q3)*(('Sample Data'!$B$2:$B$145=$B$6)+($B$6="All")&gt;0)*'Sample Data'!$D$2:$D$145)</f>
        <v>1276200</v>
      </c>
    </row>
    <row r="4" customFormat="false" ht="18" hidden="false" customHeight="true" outlineLevel="0" collapsed="false">
      <c r="A4" s="18"/>
      <c r="B4" s="18"/>
      <c r="C4" s="18"/>
      <c r="D4" s="18"/>
      <c r="E4" s="18"/>
      <c r="F4" s="18"/>
      <c r="G4" s="18"/>
      <c r="H4" s="18"/>
      <c r="I4" s="18"/>
      <c r="J4" s="18"/>
      <c r="K4" s="22" t="n">
        <v>45717</v>
      </c>
      <c r="L4" s="23" t="n">
        <f aca="false">SUMPRODUCT(('Sample Data'!$A$2:$A$145=K4)*(('Sample Data'!$B$2:$B$145=$B$6)+($B$6="All")&gt;0)*(('Sample Data'!$C$2:$C$145=$E$6)+($E$6="All")&gt;0)*'Sample Data'!$D$2:$D$145)</f>
        <v>373800</v>
      </c>
      <c r="M4" s="18"/>
      <c r="N4" s="19" t="s">
        <v>40</v>
      </c>
      <c r="O4" s="23" t="n">
        <f aca="false">SUMPRODUCT(('Sample Data'!$B$2:$B$145=N4)*(('Sample Data'!$C$2:$C$145=$E$6)+($E$6="All")&gt;0)*'Sample Data'!$D$2:$D$145)</f>
        <v>1117900</v>
      </c>
      <c r="P4" s="18"/>
      <c r="Q4" s="19" t="s">
        <v>38</v>
      </c>
      <c r="R4" s="24" t="n">
        <f aca="false">SUMPRODUCT(('Sample Data'!$C$2:$C$145=Q4)*(('Sample Data'!$B$2:$B$145=$B$6)+($B$6="All")&gt;0)*'Sample Data'!$D$2:$D$145)</f>
        <v>1483600</v>
      </c>
    </row>
    <row r="5" customFormat="false" ht="18" hidden="false" customHeight="true" outlineLevel="0" collapsed="false">
      <c r="A5" s="18"/>
      <c r="B5" s="26" t="s">
        <v>27</v>
      </c>
      <c r="C5" s="18"/>
      <c r="D5" s="18"/>
      <c r="E5" s="26" t="s">
        <v>28</v>
      </c>
      <c r="F5" s="18"/>
      <c r="G5" s="18"/>
      <c r="H5" s="18"/>
      <c r="I5" s="18"/>
      <c r="J5" s="18"/>
      <c r="K5" s="22" t="n">
        <v>45748</v>
      </c>
      <c r="L5" s="23" t="n">
        <f aca="false">SUMPRODUCT(('Sample Data'!$A$2:$A$145=K5)*(('Sample Data'!$B$2:$B$145=$B$6)+($B$6="All")&gt;0)*(('Sample Data'!$C$2:$C$145=$E$6)+($E$6="All")&gt;0)*'Sample Data'!$D$2:$D$145)</f>
        <v>369600</v>
      </c>
      <c r="M5" s="18"/>
      <c r="N5" s="19" t="s">
        <v>41</v>
      </c>
      <c r="O5" s="23" t="n">
        <f aca="false">SUMPRODUCT(('Sample Data'!$B$2:$B$145=N5)*(('Sample Data'!$C$2:$C$145=$E$6)+($E$6="All")&gt;0)*'Sample Data'!$D$2:$D$145)</f>
        <v>637800</v>
      </c>
      <c r="P5" s="18"/>
      <c r="Q5" s="18"/>
    </row>
    <row r="6" customFormat="false" ht="18" hidden="false" customHeight="true" outlineLevel="0" collapsed="false">
      <c r="A6" s="18"/>
      <c r="B6" s="27" t="s">
        <v>45</v>
      </c>
      <c r="C6" s="18"/>
      <c r="D6" s="18"/>
      <c r="E6" s="27" t="s">
        <v>45</v>
      </c>
      <c r="F6" s="18"/>
      <c r="G6" s="18"/>
      <c r="H6" s="18"/>
      <c r="I6" s="18"/>
      <c r="J6" s="18"/>
      <c r="K6" s="22" t="n">
        <v>45778</v>
      </c>
      <c r="L6" s="23" t="n">
        <f aca="false">SUMPRODUCT(('Sample Data'!$A$2:$A$145=K6)*(('Sample Data'!$B$2:$B$145=$B$6)+($B$6="All")&gt;0)*(('Sample Data'!$C$2:$C$145=$E$6)+($E$6="All")&gt;0)*'Sample Data'!$D$2:$D$145)</f>
        <v>389100</v>
      </c>
      <c r="M6" s="18"/>
      <c r="N6" s="18"/>
      <c r="O6" s="18"/>
      <c r="P6" s="18"/>
      <c r="Q6" s="18"/>
    </row>
    <row r="7" customFormat="false" ht="18" hidden="false" customHeight="true" outlineLevel="0" collapsed="false">
      <c r="A7" s="18"/>
      <c r="B7" s="18"/>
      <c r="C7" s="18"/>
      <c r="D7" s="18"/>
      <c r="E7" s="18"/>
      <c r="F7" s="18"/>
      <c r="G7" s="18"/>
      <c r="H7" s="18"/>
      <c r="I7" s="18"/>
      <c r="J7" s="18"/>
      <c r="K7" s="22" t="n">
        <v>45809</v>
      </c>
      <c r="L7" s="23" t="n">
        <f aca="false">SUMPRODUCT(('Sample Data'!$A$2:$A$145=K7)*(('Sample Data'!$B$2:$B$145=$B$6)+($B$6="All")&gt;0)*(('Sample Data'!$C$2:$C$145=$E$6)+($E$6="All")&gt;0)*'Sample Data'!$D$2:$D$145)</f>
        <v>388300</v>
      </c>
      <c r="M7" s="18"/>
      <c r="N7" s="18"/>
      <c r="O7" s="18"/>
      <c r="P7" s="18"/>
      <c r="Q7" s="18"/>
    </row>
    <row r="8" customFormat="false" ht="18" hidden="false" customHeight="true" outlineLevel="0" collapsed="false">
      <c r="A8" s="18"/>
      <c r="B8" s="28" t="s">
        <v>46</v>
      </c>
      <c r="C8" s="28" t="s">
        <v>30</v>
      </c>
      <c r="D8" s="28" t="s">
        <v>31</v>
      </c>
      <c r="E8" s="28" t="s">
        <v>47</v>
      </c>
      <c r="F8" s="28" t="s">
        <v>48</v>
      </c>
      <c r="G8" s="18"/>
      <c r="H8" s="18"/>
      <c r="I8" s="18"/>
      <c r="J8" s="18"/>
      <c r="K8" s="22" t="n">
        <v>45839</v>
      </c>
      <c r="L8" s="23" t="n">
        <f aca="false">SUMPRODUCT(('Sample Data'!$A$2:$A$145=K8)*(('Sample Data'!$B$2:$B$145=$B$6)+($B$6="All")&gt;0)*(('Sample Data'!$C$2:$C$145=$E$6)+($E$6="All")&gt;0)*'Sample Data'!$D$2:$D$145)</f>
        <v>389900</v>
      </c>
      <c r="M8" s="18"/>
      <c r="N8" s="18"/>
      <c r="O8" s="18"/>
      <c r="P8" s="18"/>
      <c r="Q8" s="18"/>
    </row>
    <row r="9" customFormat="false" ht="27.75" hidden="false" customHeight="true" outlineLevel="0" collapsed="false">
      <c r="A9" s="18"/>
      <c r="B9" s="29" t="n">
        <f aca="false">SUMPRODUCT((('Sample Data'!$B$2:$B$145=$B$6)+($B$6="All")&gt;0)*(('Sample Data'!$C$2:$C$145=$E$6)+($E$6="All")&gt;0)*'Sample Data'!$D$2:$D$145)</f>
        <v>4697300</v>
      </c>
      <c r="C9" s="30" t="n">
        <f aca="false">SUMPRODUCT((('Sample Data'!$B$2:$B$145=$B$6)+($B$6="All")&gt;0)*(('Sample Data'!$C$2:$C$145=$E$6)+($E$6="All")&gt;0)*'Sample Data'!$E$2:$E$145)</f>
        <v>22036</v>
      </c>
      <c r="D9" s="31" t="n">
        <f aca="false">SUMPRODUCT((('Sample Data'!$B$2:$B$145=$B$6)+($B$6="All")&gt;0)*(('Sample Data'!$C$2:$C$145=$E$6)+($E$6="All")&gt;0)*'Sample Data'!$F$2:$F$145)</f>
        <v>1425</v>
      </c>
      <c r="E9" s="32" t="n">
        <f aca="false">SUMPRODUCT((('Sample Data'!$B$2:$B$145=$B$6)+($B$6="All")&gt;0)*(('Sample Data'!$C$2:$C$145=$E$6)+($E$6="All")&gt;0)*'Sample Data'!$H$2:$H$145)/SUMPRODUCT((('Sample Data'!$B$2:$B$145=$B$6)+($B$6="All")&gt;0)*(('Sample Data'!$C$2:$C$145=$E$6)+($E$6="All")&gt;0)*1)</f>
        <v>83.6159722222222</v>
      </c>
      <c r="F9" s="33" t="n">
        <f aca="false">SUMPRODUCT((('Sample Data'!$B$2:$B$145=$B$6)+($B$6="All")&gt;0)*(('Sample Data'!$C$2:$C$145=$E$6)+($E$6="All")&gt;0)*'Sample Data'!$D$2:$D$145)/SUMPRODUCT((('Sample Data'!$B$2:$B$145=$B$6)+($B$6="All")&gt;0)*(('Sample Data'!$C$2:$C$145=$E$6)+($E$6="All")&gt;0)*'Sample Data'!$G$2:$G$145)</f>
        <v>4.32787277953859</v>
      </c>
      <c r="G9" s="18"/>
      <c r="H9" s="18"/>
      <c r="I9" s="18"/>
      <c r="J9" s="18"/>
      <c r="K9" s="22" t="n">
        <v>45870</v>
      </c>
      <c r="L9" s="23" t="n">
        <f aca="false">SUMPRODUCT(('Sample Data'!$A$2:$A$145=K9)*(('Sample Data'!$B$2:$B$145=$B$6)+($B$6="All")&gt;0)*(('Sample Data'!$C$2:$C$145=$E$6)+($E$6="All")&gt;0)*'Sample Data'!$D$2:$D$145)</f>
        <v>393500</v>
      </c>
      <c r="M9" s="18"/>
      <c r="N9" s="18"/>
      <c r="O9" s="18"/>
      <c r="P9" s="18"/>
      <c r="Q9" s="18"/>
    </row>
    <row r="10" customFormat="false" ht="18" hidden="false" customHeight="true" outlineLevel="0" collapsed="false">
      <c r="A10" s="18"/>
      <c r="B10" s="18"/>
      <c r="C10" s="18"/>
      <c r="D10" s="18"/>
      <c r="E10" s="18"/>
      <c r="F10" s="18"/>
      <c r="G10" s="18"/>
      <c r="H10" s="18"/>
      <c r="I10" s="18"/>
      <c r="J10" s="18"/>
      <c r="K10" s="22" t="n">
        <v>45901</v>
      </c>
      <c r="L10" s="23" t="n">
        <f aca="false">SUMPRODUCT(('Sample Data'!$A$2:$A$145=K10)*(('Sample Data'!$B$2:$B$145=$B$6)+($B$6="All")&gt;0)*(('Sample Data'!$C$2:$C$145=$E$6)+($E$6="All")&gt;0)*'Sample Data'!$D$2:$D$145)</f>
        <v>422700</v>
      </c>
      <c r="M10" s="18"/>
      <c r="N10" s="18"/>
      <c r="O10" s="18"/>
      <c r="P10" s="18"/>
      <c r="Q10" s="18"/>
    </row>
    <row r="11" customFormat="false" ht="18" hidden="false" customHeight="true" outlineLevel="0" collapsed="false">
      <c r="A11" s="18"/>
      <c r="B11" s="18"/>
      <c r="C11" s="18"/>
      <c r="D11" s="18"/>
      <c r="E11" s="18"/>
      <c r="F11" s="18"/>
      <c r="G11" s="18"/>
      <c r="H11" s="18"/>
      <c r="I11" s="18"/>
      <c r="J11" s="18"/>
      <c r="K11" s="22" t="n">
        <v>45931</v>
      </c>
      <c r="L11" s="23" t="n">
        <f aca="false">SUMPRODUCT(('Sample Data'!$A$2:$A$145=K11)*(('Sample Data'!$B$2:$B$145=$B$6)+($B$6="All")&gt;0)*(('Sample Data'!$C$2:$C$145=$E$6)+($E$6="All")&gt;0)*'Sample Data'!$D$2:$D$145)</f>
        <v>418100</v>
      </c>
      <c r="M11" s="18"/>
      <c r="N11" s="18"/>
      <c r="O11" s="18"/>
      <c r="P11" s="18"/>
      <c r="Q11" s="18"/>
    </row>
    <row r="12" customFormat="false" ht="18" hidden="false" customHeight="true" outlineLevel="0" collapsed="false">
      <c r="A12" s="18"/>
      <c r="B12" s="18"/>
      <c r="C12" s="18"/>
      <c r="D12" s="18"/>
      <c r="E12" s="18"/>
      <c r="F12" s="18"/>
      <c r="G12" s="18"/>
      <c r="H12" s="18"/>
      <c r="I12" s="18"/>
      <c r="J12" s="18"/>
      <c r="K12" s="22" t="n">
        <v>45962</v>
      </c>
      <c r="L12" s="23" t="n">
        <f aca="false">SUMPRODUCT(('Sample Data'!$A$2:$A$145=K12)*(('Sample Data'!$B$2:$B$145=$B$6)+($B$6="All")&gt;0)*(('Sample Data'!$C$2:$C$145=$E$6)+($E$6="All")&gt;0)*'Sample Data'!$D$2:$D$145)</f>
        <v>405500</v>
      </c>
      <c r="M12" s="18"/>
      <c r="N12" s="18"/>
      <c r="O12" s="18"/>
      <c r="P12" s="18"/>
      <c r="Q12" s="18"/>
    </row>
    <row r="13" customFormat="false" ht="18" hidden="false" customHeight="true" outlineLevel="0" collapsed="false">
      <c r="A13" s="18"/>
      <c r="B13" s="18"/>
      <c r="C13" s="18"/>
      <c r="D13" s="18"/>
      <c r="E13" s="18"/>
      <c r="F13" s="18"/>
      <c r="G13" s="18"/>
      <c r="H13" s="18"/>
      <c r="I13" s="18"/>
      <c r="J13" s="18"/>
      <c r="K13" s="22" t="n">
        <v>45992</v>
      </c>
      <c r="L13" s="23" t="n">
        <f aca="false">SUMPRODUCT(('Sample Data'!$A$2:$A$145=K13)*(('Sample Data'!$B$2:$B$145=$B$6)+($B$6="All")&gt;0)*(('Sample Data'!$C$2:$C$145=$E$6)+($E$6="All")&gt;0)*'Sample Data'!$D$2:$D$145)</f>
        <v>439300</v>
      </c>
      <c r="M13" s="18"/>
      <c r="N13" s="18"/>
      <c r="O13" s="18"/>
      <c r="P13" s="18"/>
      <c r="Q13" s="18"/>
    </row>
    <row r="14" customFormat="false" ht="18" hidden="false" customHeight="true" outlineLevel="0" collapsed="false">
      <c r="A14" s="18"/>
      <c r="B14" s="18"/>
      <c r="C14" s="18"/>
      <c r="D14" s="18"/>
      <c r="E14" s="18"/>
      <c r="F14" s="18"/>
      <c r="G14" s="18"/>
      <c r="H14" s="18"/>
      <c r="I14" s="18"/>
      <c r="J14" s="18"/>
      <c r="K14" s="18"/>
      <c r="L14" s="18"/>
      <c r="M14" s="18"/>
      <c r="N14" s="18"/>
      <c r="O14" s="18"/>
      <c r="P14" s="18"/>
      <c r="Q14" s="18"/>
    </row>
    <row r="15" customFormat="false" ht="18" hidden="false" customHeight="true" outlineLevel="0" collapsed="false">
      <c r="A15" s="18"/>
      <c r="B15" s="18"/>
      <c r="C15" s="18"/>
      <c r="D15" s="18"/>
      <c r="E15" s="18"/>
      <c r="F15" s="18"/>
      <c r="G15" s="18"/>
      <c r="H15" s="18"/>
      <c r="I15" s="18"/>
      <c r="J15" s="18"/>
      <c r="K15" s="18"/>
      <c r="L15" s="18"/>
      <c r="M15" s="18"/>
      <c r="N15" s="18"/>
      <c r="O15" s="18"/>
      <c r="P15" s="18"/>
      <c r="Q15" s="18"/>
    </row>
    <row r="16" customFormat="false" ht="18" hidden="false" customHeight="true" outlineLevel="0" collapsed="false">
      <c r="A16" s="18"/>
      <c r="B16" s="18"/>
      <c r="C16" s="18"/>
      <c r="D16" s="18"/>
      <c r="E16" s="18"/>
      <c r="F16" s="18"/>
      <c r="G16" s="18"/>
      <c r="H16" s="18"/>
      <c r="I16" s="18"/>
      <c r="J16" s="18"/>
      <c r="K16" s="18"/>
      <c r="L16" s="18"/>
      <c r="M16" s="18"/>
      <c r="N16" s="18"/>
      <c r="O16" s="18"/>
      <c r="P16" s="18"/>
      <c r="Q16" s="18"/>
    </row>
    <row r="17" customFormat="false" ht="18" hidden="false" customHeight="true" outlineLevel="0" collapsed="false">
      <c r="A17" s="18"/>
      <c r="B17" s="18"/>
      <c r="C17" s="18"/>
      <c r="D17" s="18"/>
      <c r="E17" s="18"/>
      <c r="F17" s="18"/>
      <c r="G17" s="18"/>
      <c r="H17" s="18"/>
      <c r="I17" s="18"/>
      <c r="J17" s="18"/>
      <c r="K17" s="18"/>
      <c r="L17" s="18"/>
      <c r="M17" s="18"/>
      <c r="N17" s="18"/>
      <c r="O17" s="18"/>
      <c r="P17" s="18"/>
      <c r="Q17" s="18"/>
    </row>
    <row r="18" customFormat="false" ht="18" hidden="false" customHeight="true" outlineLevel="0" collapsed="false">
      <c r="A18" s="18"/>
      <c r="B18" s="18"/>
      <c r="C18" s="18"/>
      <c r="D18" s="18"/>
      <c r="E18" s="18"/>
      <c r="F18" s="18"/>
      <c r="G18" s="18"/>
      <c r="H18" s="18"/>
      <c r="I18" s="18"/>
      <c r="J18" s="18"/>
      <c r="K18" s="18"/>
      <c r="L18" s="18"/>
      <c r="M18" s="18"/>
      <c r="N18" s="18"/>
      <c r="O18" s="18"/>
      <c r="P18" s="18"/>
      <c r="Q18" s="18"/>
    </row>
    <row r="19" customFormat="false" ht="18" hidden="false" customHeight="true" outlineLevel="0" collapsed="false">
      <c r="A19" s="18"/>
      <c r="B19" s="18"/>
      <c r="C19" s="18"/>
      <c r="D19" s="18"/>
      <c r="E19" s="18"/>
      <c r="F19" s="18"/>
      <c r="G19" s="18"/>
      <c r="H19" s="18"/>
      <c r="I19" s="18"/>
      <c r="J19" s="18"/>
      <c r="K19" s="18"/>
      <c r="L19" s="18"/>
      <c r="M19" s="18"/>
      <c r="N19" s="18"/>
      <c r="O19" s="18"/>
      <c r="P19" s="18"/>
      <c r="Q19" s="18"/>
    </row>
    <row r="20" customFormat="false" ht="18" hidden="false" customHeight="true" outlineLevel="0" collapsed="false">
      <c r="A20" s="18"/>
      <c r="B20" s="18"/>
      <c r="C20" s="18"/>
      <c r="D20" s="18"/>
      <c r="E20" s="18"/>
      <c r="F20" s="18"/>
      <c r="G20" s="18"/>
      <c r="H20" s="18"/>
      <c r="I20" s="18"/>
      <c r="J20" s="18"/>
      <c r="K20" s="18"/>
      <c r="L20" s="18"/>
      <c r="M20" s="18"/>
      <c r="N20" s="18"/>
      <c r="O20" s="18"/>
      <c r="P20" s="18"/>
      <c r="Q20" s="18"/>
    </row>
    <row r="21" customFormat="false" ht="18" hidden="false" customHeight="true" outlineLevel="0" collapsed="false">
      <c r="A21" s="18"/>
      <c r="B21" s="18"/>
      <c r="C21" s="18"/>
      <c r="D21" s="18"/>
      <c r="E21" s="18"/>
      <c r="F21" s="18"/>
      <c r="G21" s="18"/>
      <c r="H21" s="18"/>
      <c r="I21" s="18"/>
      <c r="J21" s="18"/>
      <c r="K21" s="18"/>
      <c r="L21" s="18"/>
      <c r="M21" s="18"/>
      <c r="N21" s="18"/>
      <c r="O21" s="18"/>
      <c r="P21" s="18"/>
      <c r="Q21" s="18"/>
    </row>
    <row r="22" customFormat="false" ht="18" hidden="false" customHeight="true" outlineLevel="0" collapsed="false">
      <c r="A22" s="18"/>
      <c r="B22" s="18"/>
      <c r="C22" s="18"/>
      <c r="D22" s="18"/>
      <c r="E22" s="18"/>
      <c r="F22" s="18"/>
      <c r="G22" s="18"/>
      <c r="H22" s="18"/>
      <c r="I22" s="18"/>
      <c r="J22" s="18"/>
      <c r="K22" s="18"/>
      <c r="L22" s="18"/>
      <c r="M22" s="18"/>
      <c r="N22" s="18"/>
      <c r="O22" s="18"/>
      <c r="P22" s="18"/>
      <c r="Q22" s="18"/>
    </row>
    <row r="23" customFormat="false" ht="18" hidden="false" customHeight="true" outlineLevel="0" collapsed="false">
      <c r="A23" s="18"/>
      <c r="B23" s="18"/>
      <c r="C23" s="18"/>
      <c r="D23" s="18"/>
      <c r="E23" s="18"/>
      <c r="F23" s="18"/>
      <c r="G23" s="18"/>
      <c r="H23" s="18"/>
      <c r="I23" s="18"/>
      <c r="J23" s="18"/>
      <c r="K23" s="18"/>
      <c r="L23" s="18"/>
      <c r="M23" s="18"/>
      <c r="N23" s="18"/>
      <c r="O23" s="18"/>
      <c r="P23" s="18"/>
      <c r="Q23" s="18"/>
    </row>
    <row r="24" customFormat="false" ht="18" hidden="false" customHeight="true" outlineLevel="0" collapsed="false">
      <c r="A24" s="18"/>
      <c r="B24" s="18"/>
      <c r="C24" s="18"/>
      <c r="D24" s="18"/>
      <c r="E24" s="18"/>
      <c r="F24" s="18"/>
      <c r="G24" s="18"/>
      <c r="H24" s="18"/>
      <c r="I24" s="18"/>
      <c r="J24" s="18"/>
      <c r="K24" s="18"/>
      <c r="L24" s="18"/>
      <c r="M24" s="18"/>
      <c r="N24" s="18"/>
      <c r="O24" s="18"/>
      <c r="P24" s="18"/>
      <c r="Q24" s="18"/>
    </row>
    <row r="25" customFormat="false" ht="18" hidden="false" customHeight="true" outlineLevel="0" collapsed="false">
      <c r="A25" s="18"/>
      <c r="B25" s="18"/>
      <c r="C25" s="18"/>
      <c r="D25" s="18"/>
      <c r="E25" s="18"/>
      <c r="F25" s="18"/>
      <c r="G25" s="18"/>
      <c r="H25" s="18"/>
      <c r="I25" s="18"/>
      <c r="J25" s="18"/>
      <c r="K25" s="18"/>
      <c r="L25" s="18"/>
      <c r="M25" s="18"/>
      <c r="N25" s="18"/>
      <c r="O25" s="18"/>
      <c r="P25" s="18"/>
      <c r="Q25" s="18"/>
    </row>
    <row r="26" customFormat="false" ht="18" hidden="false" customHeight="true" outlineLevel="0" collapsed="false">
      <c r="A26" s="18"/>
      <c r="B26" s="18"/>
      <c r="C26" s="18"/>
      <c r="D26" s="18"/>
      <c r="E26" s="18"/>
      <c r="F26" s="18"/>
      <c r="G26" s="18"/>
      <c r="H26" s="18"/>
      <c r="I26" s="18"/>
      <c r="J26" s="18"/>
      <c r="K26" s="18"/>
      <c r="L26" s="18"/>
      <c r="M26" s="18"/>
      <c r="N26" s="18"/>
      <c r="O26" s="18"/>
      <c r="P26" s="18"/>
      <c r="Q26" s="18"/>
    </row>
    <row r="27" customFormat="false" ht="18" hidden="false" customHeight="true" outlineLevel="0" collapsed="false">
      <c r="A27" s="18"/>
      <c r="B27" s="18"/>
      <c r="C27" s="18"/>
      <c r="D27" s="18"/>
      <c r="E27" s="18"/>
      <c r="F27" s="18"/>
      <c r="G27" s="18"/>
      <c r="H27" s="18"/>
      <c r="I27" s="18"/>
      <c r="J27" s="18"/>
      <c r="K27" s="18"/>
      <c r="L27" s="18"/>
      <c r="M27" s="18"/>
      <c r="N27" s="18"/>
      <c r="O27" s="18"/>
      <c r="P27" s="18"/>
      <c r="Q27" s="18"/>
    </row>
    <row r="28" customFormat="false" ht="18" hidden="false" customHeight="true" outlineLevel="0" collapsed="false">
      <c r="A28" s="18"/>
      <c r="B28" s="18"/>
      <c r="C28" s="18"/>
      <c r="D28" s="18"/>
      <c r="E28" s="18"/>
      <c r="F28" s="18"/>
      <c r="G28" s="18"/>
      <c r="H28" s="18"/>
      <c r="I28" s="18"/>
      <c r="J28" s="18"/>
      <c r="K28" s="18"/>
      <c r="L28" s="18"/>
      <c r="M28" s="18"/>
      <c r="N28" s="18"/>
      <c r="O28" s="18"/>
      <c r="P28" s="18"/>
      <c r="Q28" s="18"/>
    </row>
    <row r="29" customFormat="false" ht="18" hidden="false" customHeight="true" outlineLevel="0" collapsed="false">
      <c r="A29" s="18"/>
      <c r="B29" s="34" t="s">
        <v>49</v>
      </c>
      <c r="C29" s="18"/>
      <c r="D29" s="18"/>
      <c r="E29" s="18"/>
      <c r="F29" s="18"/>
      <c r="G29" s="18"/>
      <c r="H29" s="18"/>
      <c r="I29" s="18"/>
      <c r="J29" s="18"/>
      <c r="K29" s="18"/>
      <c r="L29" s="18"/>
      <c r="M29" s="18"/>
      <c r="N29" s="18"/>
      <c r="O29" s="18"/>
      <c r="P29" s="18"/>
      <c r="Q29" s="18"/>
    </row>
    <row r="30" customFormat="false" ht="18" hidden="false" customHeight="true" outlineLevel="0" collapsed="false">
      <c r="A30" s="18"/>
      <c r="B30" s="18"/>
      <c r="C30" s="18"/>
      <c r="D30" s="18"/>
      <c r="E30" s="18"/>
      <c r="F30" s="18"/>
      <c r="G30" s="18"/>
      <c r="H30" s="18"/>
      <c r="I30" s="18"/>
      <c r="J30" s="18"/>
      <c r="K30" s="18"/>
      <c r="L30" s="18"/>
      <c r="M30" s="18"/>
      <c r="N30" s="18"/>
      <c r="O30" s="18"/>
      <c r="P30" s="18"/>
      <c r="Q30" s="18"/>
    </row>
    <row r="31" customFormat="false" ht="18" hidden="false" customHeight="true" outlineLevel="0" collapsed="false">
      <c r="A31" s="18"/>
      <c r="B31" s="35" t="s">
        <v>42</v>
      </c>
      <c r="C31" s="35" t="s">
        <v>27</v>
      </c>
      <c r="D31" s="35" t="s">
        <v>28</v>
      </c>
      <c r="E31" s="35" t="s">
        <v>29</v>
      </c>
      <c r="F31" s="18"/>
      <c r="G31" s="18"/>
      <c r="H31" s="18"/>
      <c r="I31" s="18"/>
      <c r="J31" s="18"/>
      <c r="K31" s="18"/>
      <c r="L31" s="18"/>
      <c r="M31" s="18"/>
      <c r="N31" s="18"/>
      <c r="O31" s="18"/>
      <c r="P31" s="18"/>
      <c r="Q31" s="18"/>
    </row>
    <row r="32" customFormat="false" ht="18" hidden="false" customHeight="true" outlineLevel="0" collapsed="false">
      <c r="A32" s="18"/>
      <c r="B32" s="36" t="n">
        <f aca="false">INDEX('Sample Data'!$A$2:$A$145,MATCH(1,'Sample Data'!$I$2:$I$145,0))</f>
        <v>45901</v>
      </c>
      <c r="C32" s="37" t="str">
        <f aca="false">INDEX('Sample Data'!$B$2:$B$145,MATCH(1,'Sample Data'!$I$2:$I$145,0))</f>
        <v>North America</v>
      </c>
      <c r="D32" s="37" t="str">
        <f aca="false">INDEX('Sample Data'!$C$2:$C$145,MATCH(1,'Sample Data'!$I$2:$I$145,0))</f>
        <v>Software</v>
      </c>
      <c r="E32" s="38" t="n">
        <f aca="false">INDEX('Sample Data'!$D$2:$D$145,MATCH(1,'Sample Data'!$I$2:$I$145,0))</f>
        <v>65400</v>
      </c>
      <c r="F32" s="18"/>
      <c r="G32" s="18"/>
      <c r="H32" s="18"/>
      <c r="I32" s="18"/>
      <c r="J32" s="18"/>
      <c r="K32" s="18"/>
      <c r="L32" s="18"/>
      <c r="M32" s="18"/>
      <c r="N32" s="18"/>
      <c r="O32" s="18"/>
      <c r="P32" s="18"/>
      <c r="Q32" s="18"/>
    </row>
    <row r="33" customFormat="false" ht="18" hidden="false" customHeight="true" outlineLevel="0" collapsed="false">
      <c r="A33" s="18"/>
      <c r="B33" s="36" t="n">
        <f aca="false">INDEX('Sample Data'!$A$2:$A$145,MATCH(2,'Sample Data'!$I$2:$I$145,0))</f>
        <v>45992</v>
      </c>
      <c r="C33" s="37" t="str">
        <f aca="false">INDEX('Sample Data'!$B$2:$B$145,MATCH(2,'Sample Data'!$I$2:$I$145,0))</f>
        <v>North America</v>
      </c>
      <c r="D33" s="37" t="str">
        <f aca="false">INDEX('Sample Data'!$C$2:$C$145,MATCH(2,'Sample Data'!$I$2:$I$145,0))</f>
        <v>Software</v>
      </c>
      <c r="E33" s="38" t="n">
        <f aca="false">INDEX('Sample Data'!$D$2:$D$145,MATCH(2,'Sample Data'!$I$2:$I$145,0))</f>
        <v>64600</v>
      </c>
      <c r="F33" s="18"/>
      <c r="G33" s="18"/>
      <c r="H33" s="18"/>
      <c r="I33" s="18"/>
      <c r="J33" s="18"/>
      <c r="K33" s="18"/>
      <c r="L33" s="18"/>
      <c r="M33" s="18"/>
      <c r="N33" s="18"/>
      <c r="O33" s="18"/>
      <c r="P33" s="18"/>
      <c r="Q33" s="18"/>
    </row>
    <row r="34" customFormat="false" ht="18" hidden="false" customHeight="true" outlineLevel="0" collapsed="false">
      <c r="A34" s="18"/>
      <c r="B34" s="36" t="n">
        <f aca="false">INDEX('Sample Data'!$A$2:$A$145,MATCH(3,'Sample Data'!$I$2:$I$145,0))</f>
        <v>45689</v>
      </c>
      <c r="C34" s="37" t="str">
        <f aca="false">INDEX('Sample Data'!$B$2:$B$145,MATCH(3,'Sample Data'!$I$2:$I$145,0))</f>
        <v>North America</v>
      </c>
      <c r="D34" s="37" t="str">
        <f aca="false">INDEX('Sample Data'!$C$2:$C$145,MATCH(3,'Sample Data'!$I$2:$I$145,0))</f>
        <v>Software</v>
      </c>
      <c r="E34" s="38" t="n">
        <f aca="false">INDEX('Sample Data'!$D$2:$D$145,MATCH(3,'Sample Data'!$I$2:$I$145,0))</f>
        <v>61800</v>
      </c>
      <c r="F34" s="18"/>
      <c r="G34" s="18"/>
      <c r="H34" s="18"/>
      <c r="I34" s="18"/>
      <c r="J34" s="18"/>
      <c r="K34" s="18"/>
      <c r="L34" s="18"/>
      <c r="M34" s="18"/>
      <c r="N34" s="18"/>
      <c r="O34" s="18"/>
      <c r="P34" s="18"/>
      <c r="Q34" s="18"/>
    </row>
    <row r="35" customFormat="false" ht="18" hidden="false" customHeight="true" outlineLevel="0" collapsed="false">
      <c r="A35" s="18"/>
      <c r="B35" s="36" t="n">
        <f aca="false">INDEX('Sample Data'!$A$2:$A$145,MATCH(4,'Sample Data'!$I$2:$I$145,0))</f>
        <v>45870</v>
      </c>
      <c r="C35" s="37" t="str">
        <f aca="false">INDEX('Sample Data'!$B$2:$B$145,MATCH(4,'Sample Data'!$I$2:$I$145,0))</f>
        <v>North America</v>
      </c>
      <c r="D35" s="37" t="str">
        <f aca="false">INDEX('Sample Data'!$C$2:$C$145,MATCH(4,'Sample Data'!$I$2:$I$145,0))</f>
        <v>Software</v>
      </c>
      <c r="E35" s="38" t="n">
        <f aca="false">INDEX('Sample Data'!$D$2:$D$145,MATCH(4,'Sample Data'!$I$2:$I$145,0))</f>
        <v>58000</v>
      </c>
      <c r="F35" s="18"/>
      <c r="G35" s="18"/>
      <c r="H35" s="18"/>
      <c r="I35" s="18"/>
      <c r="J35" s="18"/>
      <c r="K35" s="18"/>
      <c r="L35" s="18"/>
      <c r="M35" s="18"/>
      <c r="N35" s="18"/>
      <c r="O35" s="18"/>
      <c r="P35" s="18"/>
      <c r="Q35" s="18"/>
    </row>
    <row r="36" customFormat="false" ht="18" hidden="false" customHeight="true" outlineLevel="0" collapsed="false">
      <c r="A36" s="18"/>
      <c r="B36" s="36" t="n">
        <f aca="false">INDEX('Sample Data'!$A$2:$A$145,MATCH(5,'Sample Data'!$I$2:$I$145,0))</f>
        <v>45962</v>
      </c>
      <c r="C36" s="37" t="str">
        <f aca="false">INDEX('Sample Data'!$B$2:$B$145,MATCH(5,'Sample Data'!$I$2:$I$145,0))</f>
        <v>North America</v>
      </c>
      <c r="D36" s="37" t="str">
        <f aca="false">INDEX('Sample Data'!$C$2:$C$145,MATCH(5,'Sample Data'!$I$2:$I$145,0))</f>
        <v>Software</v>
      </c>
      <c r="E36" s="38" t="n">
        <f aca="false">INDEX('Sample Data'!$D$2:$D$145,MATCH(5,'Sample Data'!$I$2:$I$145,0))</f>
        <v>58000</v>
      </c>
      <c r="F36" s="18"/>
      <c r="G36" s="18"/>
      <c r="H36" s="18"/>
      <c r="I36" s="18"/>
      <c r="J36" s="18"/>
      <c r="K36" s="18"/>
      <c r="L36" s="18"/>
      <c r="M36" s="18"/>
      <c r="N36" s="18"/>
      <c r="O36" s="18"/>
      <c r="P36" s="18"/>
      <c r="Q36" s="18"/>
    </row>
    <row r="37" customFormat="false" ht="18" hidden="false" customHeight="true" outlineLevel="0" collapsed="false">
      <c r="A37" s="18"/>
      <c r="B37" s="18"/>
      <c r="C37" s="18"/>
      <c r="D37" s="18"/>
      <c r="E37" s="18"/>
      <c r="F37" s="18"/>
      <c r="G37" s="18"/>
      <c r="H37" s="18"/>
      <c r="I37" s="18"/>
      <c r="J37" s="18"/>
      <c r="K37" s="18"/>
      <c r="L37" s="18"/>
      <c r="M37" s="18"/>
      <c r="N37" s="18"/>
      <c r="O37" s="18"/>
      <c r="P37" s="18"/>
      <c r="Q37" s="18"/>
    </row>
    <row r="38" customFormat="false" ht="18" hidden="false" customHeight="true" outlineLevel="0" collapsed="false">
      <c r="A38" s="18"/>
      <c r="B38" s="18"/>
      <c r="C38" s="18"/>
      <c r="D38" s="18"/>
      <c r="E38" s="18"/>
      <c r="F38" s="18"/>
      <c r="G38" s="18"/>
      <c r="H38" s="18"/>
      <c r="I38" s="18"/>
      <c r="J38" s="18"/>
      <c r="K38" s="18"/>
      <c r="L38" s="18"/>
      <c r="M38" s="18"/>
      <c r="N38" s="18"/>
      <c r="O38" s="18"/>
      <c r="P38" s="18"/>
      <c r="Q38" s="18"/>
    </row>
    <row r="39" customFormat="false" ht="18" hidden="false" customHeight="true" outlineLevel="0" collapsed="false">
      <c r="A39" s="18"/>
      <c r="B39" s="18"/>
      <c r="C39" s="18"/>
      <c r="D39" s="18"/>
      <c r="E39" s="18"/>
      <c r="F39" s="18"/>
      <c r="G39" s="18"/>
      <c r="H39" s="18"/>
      <c r="I39" s="18"/>
      <c r="J39" s="18"/>
      <c r="K39" s="18"/>
      <c r="L39" s="18"/>
      <c r="M39" s="18"/>
      <c r="N39" s="18"/>
      <c r="O39" s="18"/>
      <c r="P39" s="18"/>
      <c r="Q39" s="18"/>
    </row>
    <row r="40" customFormat="false" ht="18" hidden="false" customHeight="true" outlineLevel="0" collapsed="false">
      <c r="A40" s="18"/>
      <c r="B40" s="18"/>
      <c r="C40" s="18"/>
      <c r="D40" s="18"/>
      <c r="E40" s="18"/>
      <c r="F40" s="18"/>
      <c r="G40" s="18"/>
      <c r="H40" s="18"/>
      <c r="I40" s="18"/>
      <c r="J40" s="18"/>
      <c r="K40" s="18"/>
      <c r="L40" s="18"/>
      <c r="M40" s="18"/>
      <c r="N40" s="18"/>
      <c r="O40" s="18"/>
      <c r="P40" s="18"/>
      <c r="Q40" s="18"/>
    </row>
    <row r="41" customFormat="false" ht="18" hidden="false" customHeight="true" outlineLevel="0" collapsed="false">
      <c r="A41" s="18"/>
      <c r="B41" s="18"/>
      <c r="C41" s="18"/>
      <c r="D41" s="18"/>
      <c r="E41" s="18"/>
      <c r="F41" s="18"/>
      <c r="G41" s="18"/>
      <c r="H41" s="18"/>
      <c r="I41" s="18"/>
      <c r="J41" s="18"/>
      <c r="K41" s="18"/>
      <c r="L41" s="18"/>
      <c r="M41" s="18"/>
      <c r="N41" s="18"/>
      <c r="O41" s="18"/>
      <c r="P41" s="18"/>
      <c r="Q41" s="18"/>
    </row>
    <row r="42" customFormat="false" ht="18" hidden="false" customHeight="true" outlineLevel="0" collapsed="false">
      <c r="A42" s="18"/>
      <c r="B42" s="18"/>
      <c r="C42" s="18"/>
      <c r="D42" s="18"/>
      <c r="E42" s="18"/>
      <c r="F42" s="18"/>
      <c r="G42" s="18"/>
      <c r="H42" s="18"/>
      <c r="I42" s="18"/>
      <c r="J42" s="18"/>
      <c r="K42" s="18"/>
      <c r="L42" s="18"/>
      <c r="M42" s="18"/>
      <c r="N42" s="18"/>
      <c r="O42" s="18"/>
      <c r="P42" s="18"/>
      <c r="Q42" s="18"/>
    </row>
    <row r="43" customFormat="false" ht="18" hidden="false" customHeight="true" outlineLevel="0" collapsed="false">
      <c r="A43" s="18"/>
      <c r="B43" s="18"/>
      <c r="C43" s="18"/>
      <c r="D43" s="18"/>
      <c r="E43" s="18"/>
      <c r="F43" s="18"/>
      <c r="G43" s="18"/>
      <c r="H43" s="18"/>
      <c r="I43" s="18"/>
      <c r="J43" s="18"/>
      <c r="K43" s="18"/>
      <c r="L43" s="18"/>
      <c r="M43" s="18"/>
      <c r="N43" s="18"/>
      <c r="O43" s="18"/>
      <c r="P43" s="18"/>
      <c r="Q43" s="18"/>
    </row>
    <row r="44" customFormat="false" ht="18" hidden="false" customHeight="true" outlineLevel="0" collapsed="false">
      <c r="A44" s="18"/>
      <c r="B44" s="18"/>
      <c r="C44" s="18"/>
      <c r="D44" s="18"/>
      <c r="E44" s="18"/>
      <c r="F44" s="18"/>
      <c r="G44" s="18"/>
      <c r="H44" s="18"/>
      <c r="I44" s="18"/>
      <c r="J44" s="18"/>
      <c r="K44" s="18"/>
      <c r="L44" s="18"/>
      <c r="M44" s="18"/>
      <c r="N44" s="18"/>
      <c r="O44" s="18"/>
      <c r="P44" s="18"/>
      <c r="Q44" s="18"/>
    </row>
  </sheetData>
  <dataValidations count="2">
    <dataValidation allowBlank="false" errorStyle="stop" operator="between" showDropDown="false" showErrorMessage="false" showInputMessage="false" sqref="B6" type="list">
      <formula1>"All,North America,Europe,APAC,LATAM"</formula1>
      <formula2>0</formula2>
    </dataValidation>
    <dataValidation allowBlank="false" errorStyle="stop" operator="between" showDropDown="false" showErrorMessage="false" showInputMessage="false" sqref="E6" type="list">
      <formula1>"All,Software,Hardware,Services"</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171F"/>
    <pageSetUpPr fitToPage="false"/>
  </sheetPr>
  <dimension ref="A1:R44"/>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
    <col collapsed="false" customWidth="true" hidden="false" outlineLevel="0" max="7" min="2" style="0" width="15"/>
    <col collapsed="false" customWidth="true" hidden="false" outlineLevel="0" max="10" min="8" style="0" width="3"/>
    <col collapsed="false" customWidth="true" hidden="false" outlineLevel="0" max="12" min="11" style="0" width="12"/>
    <col collapsed="false" customWidth="true" hidden="false" outlineLevel="0" max="13" min="13" style="0" width="3"/>
    <col collapsed="false" customWidth="true" hidden="false" outlineLevel="0" max="15" min="14" style="0" width="12"/>
    <col collapsed="false" customWidth="true" hidden="false" outlineLevel="0" max="16" min="16" style="0" width="3"/>
    <col collapsed="false" customWidth="true" hidden="false" outlineLevel="0" max="17" min="17" style="0" width="12"/>
  </cols>
  <sheetData>
    <row r="1" customFormat="false" ht="18" hidden="false" customHeight="true" outlineLevel="0" collapsed="false">
      <c r="A1" s="39"/>
      <c r="B1" s="39"/>
      <c r="C1" s="39"/>
      <c r="D1" s="39"/>
      <c r="E1" s="39"/>
      <c r="F1" s="39"/>
      <c r="G1" s="39"/>
      <c r="H1" s="39"/>
      <c r="I1" s="39"/>
      <c r="J1" s="39"/>
      <c r="K1" s="40" t="s">
        <v>42</v>
      </c>
      <c r="L1" s="40" t="s">
        <v>29</v>
      </c>
      <c r="M1" s="39"/>
      <c r="N1" s="40" t="s">
        <v>27</v>
      </c>
      <c r="O1" s="40" t="s">
        <v>29</v>
      </c>
      <c r="P1" s="39"/>
      <c r="Q1" s="40" t="s">
        <v>28</v>
      </c>
      <c r="R1" s="41" t="s">
        <v>29</v>
      </c>
    </row>
    <row r="2" customFormat="false" ht="18" hidden="false" customHeight="true" outlineLevel="0" collapsed="false">
      <c r="A2" s="39"/>
      <c r="B2" s="42" t="s">
        <v>43</v>
      </c>
      <c r="C2" s="39"/>
      <c r="D2" s="39"/>
      <c r="E2" s="39"/>
      <c r="F2" s="39"/>
      <c r="G2" s="39"/>
      <c r="H2" s="39"/>
      <c r="I2" s="39"/>
      <c r="J2" s="39"/>
      <c r="K2" s="43" t="n">
        <v>45658</v>
      </c>
      <c r="L2" s="44" t="n">
        <f aca="false">SUMPRODUCT(('Sample Data'!$A$2:$A$145=K2)*(('Sample Data'!$B$2:$B$145=$B$6)+($B$6="All")&gt;0)*(('Sample Data'!$C$2:$C$145=$E$6)+($E$6="All")&gt;0)*'Sample Data'!$D$2:$D$145)</f>
        <v>350700</v>
      </c>
      <c r="M2" s="39"/>
      <c r="N2" s="40" t="s">
        <v>35</v>
      </c>
      <c r="O2" s="44" t="n">
        <f aca="false">SUMPRODUCT(('Sample Data'!$B$2:$B$145=N2)*(('Sample Data'!$C$2:$C$145=$E$6)+($E$6="All")&gt;0)*'Sample Data'!$D$2:$D$145)</f>
        <v>1682800</v>
      </c>
      <c r="P2" s="39"/>
      <c r="Q2" s="40" t="s">
        <v>36</v>
      </c>
      <c r="R2" s="45" t="n">
        <f aca="false">SUMPRODUCT(('Sample Data'!$C$2:$C$145=Q2)*(('Sample Data'!$B$2:$B$145=$B$6)+($B$6="All")&gt;0)*'Sample Data'!$D$2:$D$145)</f>
        <v>1937500</v>
      </c>
    </row>
    <row r="3" customFormat="false" ht="18" hidden="false" customHeight="true" outlineLevel="0" collapsed="false">
      <c r="A3" s="39"/>
      <c r="B3" s="46" t="s">
        <v>44</v>
      </c>
      <c r="C3" s="39"/>
      <c r="D3" s="39"/>
      <c r="E3" s="39"/>
      <c r="F3" s="39"/>
      <c r="G3" s="39"/>
      <c r="H3" s="39"/>
      <c r="I3" s="39"/>
      <c r="J3" s="39"/>
      <c r="K3" s="43" t="n">
        <v>45689</v>
      </c>
      <c r="L3" s="44" t="n">
        <f aca="false">SUMPRODUCT(('Sample Data'!$A$2:$A$145=K3)*(('Sample Data'!$B$2:$B$145=$B$6)+($B$6="All")&gt;0)*(('Sample Data'!$C$2:$C$145=$E$6)+($E$6="All")&gt;0)*'Sample Data'!$D$2:$D$145)</f>
        <v>356800</v>
      </c>
      <c r="M3" s="39"/>
      <c r="N3" s="40" t="s">
        <v>39</v>
      </c>
      <c r="O3" s="44" t="n">
        <f aca="false">SUMPRODUCT(('Sample Data'!$B$2:$B$145=N3)*(('Sample Data'!$C$2:$C$145=$E$6)+($E$6="All")&gt;0)*'Sample Data'!$D$2:$D$145)</f>
        <v>1258800</v>
      </c>
      <c r="P3" s="39"/>
      <c r="Q3" s="40" t="s">
        <v>37</v>
      </c>
      <c r="R3" s="45" t="n">
        <f aca="false">SUMPRODUCT(('Sample Data'!$C$2:$C$145=Q3)*(('Sample Data'!$B$2:$B$145=$B$6)+($B$6="All")&gt;0)*'Sample Data'!$D$2:$D$145)</f>
        <v>1276200</v>
      </c>
    </row>
    <row r="4" customFormat="false" ht="18" hidden="false" customHeight="true" outlineLevel="0" collapsed="false">
      <c r="A4" s="39"/>
      <c r="B4" s="39"/>
      <c r="C4" s="39"/>
      <c r="D4" s="39"/>
      <c r="E4" s="39"/>
      <c r="F4" s="39"/>
      <c r="G4" s="39"/>
      <c r="H4" s="39"/>
      <c r="I4" s="39"/>
      <c r="J4" s="39"/>
      <c r="K4" s="43" t="n">
        <v>45717</v>
      </c>
      <c r="L4" s="44" t="n">
        <f aca="false">SUMPRODUCT(('Sample Data'!$A$2:$A$145=K4)*(('Sample Data'!$B$2:$B$145=$B$6)+($B$6="All")&gt;0)*(('Sample Data'!$C$2:$C$145=$E$6)+($E$6="All")&gt;0)*'Sample Data'!$D$2:$D$145)</f>
        <v>373800</v>
      </c>
      <c r="M4" s="39"/>
      <c r="N4" s="40" t="s">
        <v>40</v>
      </c>
      <c r="O4" s="44" t="n">
        <f aca="false">SUMPRODUCT(('Sample Data'!$B$2:$B$145=N4)*(('Sample Data'!$C$2:$C$145=$E$6)+($E$6="All")&gt;0)*'Sample Data'!$D$2:$D$145)</f>
        <v>1117900</v>
      </c>
      <c r="P4" s="39"/>
      <c r="Q4" s="40" t="s">
        <v>38</v>
      </c>
      <c r="R4" s="45" t="n">
        <f aca="false">SUMPRODUCT(('Sample Data'!$C$2:$C$145=Q4)*(('Sample Data'!$B$2:$B$145=$B$6)+($B$6="All")&gt;0)*'Sample Data'!$D$2:$D$145)</f>
        <v>1483600</v>
      </c>
    </row>
    <row r="5" customFormat="false" ht="18" hidden="false" customHeight="true" outlineLevel="0" collapsed="false">
      <c r="A5" s="39"/>
      <c r="B5" s="47" t="s">
        <v>27</v>
      </c>
      <c r="C5" s="39"/>
      <c r="D5" s="39"/>
      <c r="E5" s="47" t="s">
        <v>28</v>
      </c>
      <c r="F5" s="39"/>
      <c r="G5" s="39"/>
      <c r="H5" s="39"/>
      <c r="I5" s="39"/>
      <c r="J5" s="39"/>
      <c r="K5" s="43" t="n">
        <v>45748</v>
      </c>
      <c r="L5" s="44" t="n">
        <f aca="false">SUMPRODUCT(('Sample Data'!$A$2:$A$145=K5)*(('Sample Data'!$B$2:$B$145=$B$6)+($B$6="All")&gt;0)*(('Sample Data'!$C$2:$C$145=$E$6)+($E$6="All")&gt;0)*'Sample Data'!$D$2:$D$145)</f>
        <v>369600</v>
      </c>
      <c r="M5" s="39"/>
      <c r="N5" s="40" t="s">
        <v>41</v>
      </c>
      <c r="O5" s="44" t="n">
        <f aca="false">SUMPRODUCT(('Sample Data'!$B$2:$B$145=N5)*(('Sample Data'!$C$2:$C$145=$E$6)+($E$6="All")&gt;0)*'Sample Data'!$D$2:$D$145)</f>
        <v>637800</v>
      </c>
      <c r="P5" s="39"/>
      <c r="Q5" s="39"/>
    </row>
    <row r="6" customFormat="false" ht="18" hidden="false" customHeight="true" outlineLevel="0" collapsed="false">
      <c r="A6" s="39"/>
      <c r="B6" s="48" t="s">
        <v>45</v>
      </c>
      <c r="C6" s="39"/>
      <c r="D6" s="39"/>
      <c r="E6" s="48" t="s">
        <v>45</v>
      </c>
      <c r="F6" s="39"/>
      <c r="G6" s="39"/>
      <c r="H6" s="39"/>
      <c r="I6" s="39"/>
      <c r="J6" s="39"/>
      <c r="K6" s="43" t="n">
        <v>45778</v>
      </c>
      <c r="L6" s="44" t="n">
        <f aca="false">SUMPRODUCT(('Sample Data'!$A$2:$A$145=K6)*(('Sample Data'!$B$2:$B$145=$B$6)+($B$6="All")&gt;0)*(('Sample Data'!$C$2:$C$145=$E$6)+($E$6="All")&gt;0)*'Sample Data'!$D$2:$D$145)</f>
        <v>389100</v>
      </c>
      <c r="M6" s="39"/>
      <c r="N6" s="39"/>
      <c r="O6" s="39"/>
      <c r="P6" s="39"/>
      <c r="Q6" s="39"/>
    </row>
    <row r="7" customFormat="false" ht="18" hidden="false" customHeight="true" outlineLevel="0" collapsed="false">
      <c r="A7" s="39"/>
      <c r="B7" s="39"/>
      <c r="C7" s="39"/>
      <c r="D7" s="39"/>
      <c r="E7" s="39"/>
      <c r="F7" s="39"/>
      <c r="G7" s="39"/>
      <c r="H7" s="39"/>
      <c r="I7" s="39"/>
      <c r="J7" s="39"/>
      <c r="K7" s="43" t="n">
        <v>45809</v>
      </c>
      <c r="L7" s="44" t="n">
        <f aca="false">SUMPRODUCT(('Sample Data'!$A$2:$A$145=K7)*(('Sample Data'!$B$2:$B$145=$B$6)+($B$6="All")&gt;0)*(('Sample Data'!$C$2:$C$145=$E$6)+($E$6="All")&gt;0)*'Sample Data'!$D$2:$D$145)</f>
        <v>388300</v>
      </c>
      <c r="M7" s="39"/>
      <c r="N7" s="39"/>
      <c r="O7" s="39"/>
      <c r="P7" s="39"/>
      <c r="Q7" s="39"/>
    </row>
    <row r="8" customFormat="false" ht="18" hidden="false" customHeight="true" outlineLevel="0" collapsed="false">
      <c r="A8" s="39"/>
      <c r="B8" s="49" t="s">
        <v>46</v>
      </c>
      <c r="C8" s="49" t="s">
        <v>30</v>
      </c>
      <c r="D8" s="49" t="s">
        <v>31</v>
      </c>
      <c r="E8" s="49" t="s">
        <v>47</v>
      </c>
      <c r="F8" s="49" t="s">
        <v>48</v>
      </c>
      <c r="G8" s="39"/>
      <c r="H8" s="39"/>
      <c r="I8" s="39"/>
      <c r="J8" s="39"/>
      <c r="K8" s="43" t="n">
        <v>45839</v>
      </c>
      <c r="L8" s="44" t="n">
        <f aca="false">SUMPRODUCT(('Sample Data'!$A$2:$A$145=K8)*(('Sample Data'!$B$2:$B$145=$B$6)+($B$6="All")&gt;0)*(('Sample Data'!$C$2:$C$145=$E$6)+($E$6="All")&gt;0)*'Sample Data'!$D$2:$D$145)</f>
        <v>389900</v>
      </c>
      <c r="M8" s="39"/>
      <c r="N8" s="39"/>
      <c r="O8" s="39"/>
      <c r="P8" s="39"/>
      <c r="Q8" s="39"/>
    </row>
    <row r="9" customFormat="false" ht="27.75" hidden="false" customHeight="true" outlineLevel="0" collapsed="false">
      <c r="A9" s="39"/>
      <c r="B9" s="50" t="n">
        <f aca="false">SUMPRODUCT((('Sample Data'!$B$2:$B$145=$B$6)+($B$6="All")&gt;0)*(('Sample Data'!$C$2:$C$145=$E$6)+($E$6="All")&gt;0)*'Sample Data'!$D$2:$D$145)</f>
        <v>4697300</v>
      </c>
      <c r="C9" s="51" t="n">
        <f aca="false">SUMPRODUCT((('Sample Data'!$B$2:$B$145=$B$6)+($B$6="All")&gt;0)*(('Sample Data'!$C$2:$C$145=$E$6)+($E$6="All")&gt;0)*'Sample Data'!$E$2:$E$145)</f>
        <v>22036</v>
      </c>
      <c r="D9" s="52" t="n">
        <f aca="false">SUMPRODUCT((('Sample Data'!$B$2:$B$145=$B$6)+($B$6="All")&gt;0)*(('Sample Data'!$C$2:$C$145=$E$6)+($E$6="All")&gt;0)*'Sample Data'!$F$2:$F$145)</f>
        <v>1425</v>
      </c>
      <c r="E9" s="53" t="n">
        <f aca="false">SUMPRODUCT((('Sample Data'!$B$2:$B$145=$B$6)+($B$6="All")&gt;0)*(('Sample Data'!$C$2:$C$145=$E$6)+($E$6="All")&gt;0)*'Sample Data'!$H$2:$H$145)/SUMPRODUCT((('Sample Data'!$B$2:$B$145=$B$6)+($B$6="All")&gt;0)*(('Sample Data'!$C$2:$C$145=$E$6)+($E$6="All")&gt;0)*1)</f>
        <v>83.6159722222222</v>
      </c>
      <c r="F9" s="54" t="n">
        <f aca="false">SUMPRODUCT((('Sample Data'!$B$2:$B$145=$B$6)+($B$6="All")&gt;0)*(('Sample Data'!$C$2:$C$145=$E$6)+($E$6="All")&gt;0)*'Sample Data'!$D$2:$D$145)/SUMPRODUCT((('Sample Data'!$B$2:$B$145=$B$6)+($B$6="All")&gt;0)*(('Sample Data'!$C$2:$C$145=$E$6)+($E$6="All")&gt;0)*'Sample Data'!$G$2:$G$145)</f>
        <v>4.32787277953859</v>
      </c>
      <c r="G9" s="39"/>
      <c r="H9" s="39"/>
      <c r="I9" s="39"/>
      <c r="J9" s="39"/>
      <c r="K9" s="43" t="n">
        <v>45870</v>
      </c>
      <c r="L9" s="44" t="n">
        <f aca="false">SUMPRODUCT(('Sample Data'!$A$2:$A$145=K9)*(('Sample Data'!$B$2:$B$145=$B$6)+($B$6="All")&gt;0)*(('Sample Data'!$C$2:$C$145=$E$6)+($E$6="All")&gt;0)*'Sample Data'!$D$2:$D$145)</f>
        <v>393500</v>
      </c>
      <c r="M9" s="39"/>
      <c r="N9" s="39"/>
      <c r="O9" s="39"/>
      <c r="P9" s="39"/>
      <c r="Q9" s="39"/>
    </row>
    <row r="10" customFormat="false" ht="18" hidden="false" customHeight="true" outlineLevel="0" collapsed="false">
      <c r="A10" s="39"/>
      <c r="B10" s="39"/>
      <c r="C10" s="39"/>
      <c r="D10" s="39"/>
      <c r="E10" s="39"/>
      <c r="F10" s="39"/>
      <c r="G10" s="39"/>
      <c r="H10" s="39"/>
      <c r="I10" s="39"/>
      <c r="J10" s="39"/>
      <c r="K10" s="43" t="n">
        <v>45901</v>
      </c>
      <c r="L10" s="44" t="n">
        <f aca="false">SUMPRODUCT(('Sample Data'!$A$2:$A$145=K10)*(('Sample Data'!$B$2:$B$145=$B$6)+($B$6="All")&gt;0)*(('Sample Data'!$C$2:$C$145=$E$6)+($E$6="All")&gt;0)*'Sample Data'!$D$2:$D$145)</f>
        <v>422700</v>
      </c>
      <c r="M10" s="39"/>
      <c r="N10" s="39"/>
      <c r="O10" s="39"/>
      <c r="P10" s="39"/>
      <c r="Q10" s="39"/>
    </row>
    <row r="11" customFormat="false" ht="18" hidden="false" customHeight="true" outlineLevel="0" collapsed="false">
      <c r="A11" s="39"/>
      <c r="B11" s="39"/>
      <c r="C11" s="39"/>
      <c r="D11" s="39"/>
      <c r="E11" s="39"/>
      <c r="F11" s="39"/>
      <c r="G11" s="39"/>
      <c r="H11" s="39"/>
      <c r="I11" s="39"/>
      <c r="J11" s="39"/>
      <c r="K11" s="43" t="n">
        <v>45931</v>
      </c>
      <c r="L11" s="44" t="n">
        <f aca="false">SUMPRODUCT(('Sample Data'!$A$2:$A$145=K11)*(('Sample Data'!$B$2:$B$145=$B$6)+($B$6="All")&gt;0)*(('Sample Data'!$C$2:$C$145=$E$6)+($E$6="All")&gt;0)*'Sample Data'!$D$2:$D$145)</f>
        <v>418100</v>
      </c>
      <c r="M11" s="39"/>
      <c r="N11" s="39"/>
      <c r="O11" s="39"/>
      <c r="P11" s="39"/>
      <c r="Q11" s="39"/>
    </row>
    <row r="12" customFormat="false" ht="18" hidden="false" customHeight="true" outlineLevel="0" collapsed="false">
      <c r="A12" s="39"/>
      <c r="B12" s="39"/>
      <c r="C12" s="39"/>
      <c r="D12" s="39"/>
      <c r="E12" s="39"/>
      <c r="F12" s="39"/>
      <c r="G12" s="39"/>
      <c r="H12" s="39"/>
      <c r="I12" s="39"/>
      <c r="J12" s="39"/>
      <c r="K12" s="43" t="n">
        <v>45962</v>
      </c>
      <c r="L12" s="44" t="n">
        <f aca="false">SUMPRODUCT(('Sample Data'!$A$2:$A$145=K12)*(('Sample Data'!$B$2:$B$145=$B$6)+($B$6="All")&gt;0)*(('Sample Data'!$C$2:$C$145=$E$6)+($E$6="All")&gt;0)*'Sample Data'!$D$2:$D$145)</f>
        <v>405500</v>
      </c>
      <c r="M12" s="39"/>
      <c r="N12" s="39"/>
      <c r="O12" s="39"/>
      <c r="P12" s="39"/>
      <c r="Q12" s="39"/>
    </row>
    <row r="13" customFormat="false" ht="18" hidden="false" customHeight="true" outlineLevel="0" collapsed="false">
      <c r="A13" s="39"/>
      <c r="B13" s="39"/>
      <c r="C13" s="39"/>
      <c r="D13" s="39"/>
      <c r="E13" s="39"/>
      <c r="F13" s="39"/>
      <c r="G13" s="39"/>
      <c r="H13" s="39"/>
      <c r="I13" s="39"/>
      <c r="J13" s="39"/>
      <c r="K13" s="43" t="n">
        <v>45992</v>
      </c>
      <c r="L13" s="44" t="n">
        <f aca="false">SUMPRODUCT(('Sample Data'!$A$2:$A$145=K13)*(('Sample Data'!$B$2:$B$145=$B$6)+($B$6="All")&gt;0)*(('Sample Data'!$C$2:$C$145=$E$6)+($E$6="All")&gt;0)*'Sample Data'!$D$2:$D$145)</f>
        <v>439300</v>
      </c>
      <c r="M13" s="39"/>
      <c r="N13" s="39"/>
      <c r="O13" s="39"/>
      <c r="P13" s="39"/>
      <c r="Q13" s="39"/>
    </row>
    <row r="14" customFormat="false" ht="18" hidden="false" customHeight="true" outlineLevel="0" collapsed="false">
      <c r="A14" s="39"/>
      <c r="B14" s="39"/>
      <c r="C14" s="39"/>
      <c r="D14" s="39"/>
      <c r="E14" s="39"/>
      <c r="F14" s="39"/>
      <c r="G14" s="39"/>
      <c r="H14" s="39"/>
      <c r="I14" s="39"/>
      <c r="J14" s="39"/>
      <c r="K14" s="39"/>
      <c r="L14" s="39"/>
      <c r="M14" s="39"/>
      <c r="N14" s="39"/>
      <c r="O14" s="39"/>
      <c r="P14" s="39"/>
      <c r="Q14" s="39"/>
    </row>
    <row r="15" customFormat="false" ht="18" hidden="false" customHeight="true" outlineLevel="0" collapsed="false">
      <c r="A15" s="39"/>
      <c r="B15" s="39"/>
      <c r="C15" s="39"/>
      <c r="D15" s="39"/>
      <c r="E15" s="39"/>
      <c r="F15" s="39"/>
      <c r="G15" s="39"/>
      <c r="H15" s="39"/>
      <c r="I15" s="39"/>
      <c r="J15" s="39"/>
      <c r="K15" s="39"/>
      <c r="L15" s="39"/>
      <c r="M15" s="39"/>
      <c r="N15" s="39"/>
      <c r="O15" s="39"/>
      <c r="P15" s="39"/>
      <c r="Q15" s="39"/>
    </row>
    <row r="16" customFormat="false" ht="18" hidden="false" customHeight="true" outlineLevel="0" collapsed="false">
      <c r="A16" s="39"/>
      <c r="B16" s="39"/>
      <c r="C16" s="39"/>
      <c r="D16" s="39"/>
      <c r="E16" s="39"/>
      <c r="F16" s="39"/>
      <c r="G16" s="39"/>
      <c r="H16" s="39"/>
      <c r="I16" s="39"/>
      <c r="J16" s="39"/>
      <c r="K16" s="39"/>
      <c r="L16" s="39"/>
      <c r="M16" s="39"/>
      <c r="N16" s="39"/>
      <c r="O16" s="39"/>
      <c r="P16" s="39"/>
      <c r="Q16" s="39"/>
    </row>
    <row r="17" customFormat="false" ht="18" hidden="false" customHeight="true" outlineLevel="0" collapsed="false">
      <c r="A17" s="39"/>
      <c r="B17" s="39"/>
      <c r="C17" s="39"/>
      <c r="D17" s="39"/>
      <c r="E17" s="39"/>
      <c r="F17" s="39"/>
      <c r="G17" s="39"/>
      <c r="H17" s="39"/>
      <c r="I17" s="39"/>
      <c r="J17" s="39"/>
      <c r="K17" s="39"/>
      <c r="L17" s="39"/>
      <c r="M17" s="39"/>
      <c r="N17" s="39"/>
      <c r="O17" s="39"/>
      <c r="P17" s="39"/>
      <c r="Q17" s="39"/>
    </row>
    <row r="18" customFormat="false" ht="18" hidden="false" customHeight="true" outlineLevel="0" collapsed="false">
      <c r="A18" s="39"/>
      <c r="B18" s="39"/>
      <c r="C18" s="39"/>
      <c r="D18" s="39"/>
      <c r="E18" s="39"/>
      <c r="F18" s="39"/>
      <c r="G18" s="39"/>
      <c r="H18" s="39"/>
      <c r="I18" s="39"/>
      <c r="J18" s="39"/>
      <c r="K18" s="39"/>
      <c r="L18" s="39"/>
      <c r="M18" s="39"/>
      <c r="N18" s="39"/>
      <c r="O18" s="39"/>
      <c r="P18" s="39"/>
      <c r="Q18" s="39"/>
    </row>
    <row r="19" customFormat="false" ht="18" hidden="false" customHeight="true" outlineLevel="0" collapsed="false">
      <c r="A19" s="39"/>
      <c r="B19" s="39"/>
      <c r="C19" s="39"/>
      <c r="D19" s="39"/>
      <c r="E19" s="39"/>
      <c r="F19" s="39"/>
      <c r="G19" s="39"/>
      <c r="H19" s="39"/>
      <c r="I19" s="39"/>
      <c r="J19" s="39"/>
      <c r="K19" s="39"/>
      <c r="L19" s="39"/>
      <c r="M19" s="39"/>
      <c r="N19" s="39"/>
      <c r="O19" s="39"/>
      <c r="P19" s="39"/>
      <c r="Q19" s="39"/>
    </row>
    <row r="20" customFormat="false" ht="18" hidden="false" customHeight="true" outlineLevel="0" collapsed="false">
      <c r="A20" s="39"/>
      <c r="B20" s="39"/>
      <c r="C20" s="39"/>
      <c r="D20" s="39"/>
      <c r="E20" s="39"/>
      <c r="F20" s="39"/>
      <c r="G20" s="39"/>
      <c r="H20" s="39"/>
      <c r="I20" s="39"/>
      <c r="J20" s="39"/>
      <c r="K20" s="39"/>
      <c r="L20" s="39"/>
      <c r="M20" s="39"/>
      <c r="N20" s="39"/>
      <c r="O20" s="39"/>
      <c r="P20" s="39"/>
      <c r="Q20" s="39"/>
    </row>
    <row r="21" customFormat="false" ht="18" hidden="false" customHeight="true" outlineLevel="0" collapsed="false">
      <c r="A21" s="39"/>
      <c r="B21" s="39"/>
      <c r="C21" s="39"/>
      <c r="D21" s="39"/>
      <c r="E21" s="39"/>
      <c r="F21" s="39"/>
      <c r="G21" s="39"/>
      <c r="H21" s="39"/>
      <c r="I21" s="39"/>
      <c r="J21" s="39"/>
      <c r="K21" s="39"/>
      <c r="L21" s="39"/>
      <c r="M21" s="39"/>
      <c r="N21" s="39"/>
      <c r="O21" s="39"/>
      <c r="P21" s="39"/>
      <c r="Q21" s="39"/>
    </row>
    <row r="22" customFormat="false" ht="18" hidden="false" customHeight="true" outlineLevel="0" collapsed="false">
      <c r="A22" s="39"/>
      <c r="B22" s="39"/>
      <c r="C22" s="39"/>
      <c r="D22" s="39"/>
      <c r="E22" s="39"/>
      <c r="F22" s="39"/>
      <c r="G22" s="39"/>
      <c r="H22" s="39"/>
      <c r="I22" s="39"/>
      <c r="J22" s="39"/>
      <c r="K22" s="39"/>
      <c r="L22" s="39"/>
      <c r="M22" s="39"/>
      <c r="N22" s="39"/>
      <c r="O22" s="39"/>
      <c r="P22" s="39"/>
      <c r="Q22" s="39"/>
    </row>
    <row r="23" customFormat="false" ht="18" hidden="false" customHeight="true" outlineLevel="0" collapsed="false">
      <c r="A23" s="39"/>
      <c r="B23" s="39"/>
      <c r="C23" s="39"/>
      <c r="D23" s="39"/>
      <c r="E23" s="39"/>
      <c r="F23" s="39"/>
      <c r="G23" s="39"/>
      <c r="H23" s="39"/>
      <c r="I23" s="39"/>
      <c r="J23" s="39"/>
      <c r="K23" s="39"/>
      <c r="L23" s="39"/>
      <c r="M23" s="39"/>
      <c r="N23" s="39"/>
      <c r="O23" s="39"/>
      <c r="P23" s="39"/>
      <c r="Q23" s="39"/>
    </row>
    <row r="24" customFormat="false" ht="18" hidden="false" customHeight="true" outlineLevel="0" collapsed="false">
      <c r="A24" s="39"/>
      <c r="B24" s="39"/>
      <c r="C24" s="39"/>
      <c r="D24" s="39"/>
      <c r="E24" s="39"/>
      <c r="F24" s="39"/>
      <c r="G24" s="39"/>
      <c r="H24" s="39"/>
      <c r="I24" s="39"/>
      <c r="J24" s="39"/>
      <c r="K24" s="39"/>
      <c r="L24" s="39"/>
      <c r="M24" s="39"/>
      <c r="N24" s="39"/>
      <c r="O24" s="39"/>
      <c r="P24" s="39"/>
      <c r="Q24" s="39"/>
    </row>
    <row r="25" customFormat="false" ht="18" hidden="false" customHeight="true" outlineLevel="0" collapsed="false">
      <c r="A25" s="39"/>
      <c r="B25" s="39"/>
      <c r="C25" s="39"/>
      <c r="D25" s="39"/>
      <c r="E25" s="39"/>
      <c r="F25" s="39"/>
      <c r="G25" s="39"/>
      <c r="H25" s="39"/>
      <c r="I25" s="39"/>
      <c r="J25" s="39"/>
      <c r="K25" s="39"/>
      <c r="L25" s="39"/>
      <c r="M25" s="39"/>
      <c r="N25" s="39"/>
      <c r="O25" s="39"/>
      <c r="P25" s="39"/>
      <c r="Q25" s="39"/>
    </row>
    <row r="26" customFormat="false" ht="18" hidden="false" customHeight="true" outlineLevel="0" collapsed="false">
      <c r="A26" s="39"/>
      <c r="B26" s="39"/>
      <c r="C26" s="39"/>
      <c r="D26" s="39"/>
      <c r="E26" s="39"/>
      <c r="F26" s="39"/>
      <c r="G26" s="39"/>
      <c r="H26" s="39"/>
      <c r="I26" s="39"/>
      <c r="J26" s="39"/>
      <c r="K26" s="39"/>
      <c r="L26" s="39"/>
      <c r="M26" s="39"/>
      <c r="N26" s="39"/>
      <c r="O26" s="39"/>
      <c r="P26" s="39"/>
      <c r="Q26" s="39"/>
    </row>
    <row r="27" customFormat="false" ht="18" hidden="false" customHeight="true" outlineLevel="0" collapsed="false">
      <c r="A27" s="39"/>
      <c r="B27" s="39"/>
      <c r="C27" s="39"/>
      <c r="D27" s="39"/>
      <c r="E27" s="39"/>
      <c r="F27" s="39"/>
      <c r="G27" s="39"/>
      <c r="H27" s="39"/>
      <c r="I27" s="39"/>
      <c r="J27" s="39"/>
      <c r="K27" s="39"/>
      <c r="L27" s="39"/>
      <c r="M27" s="39"/>
      <c r="N27" s="39"/>
      <c r="O27" s="39"/>
      <c r="P27" s="39"/>
      <c r="Q27" s="39"/>
    </row>
    <row r="28" customFormat="false" ht="18" hidden="false" customHeight="true" outlineLevel="0" collapsed="false">
      <c r="A28" s="39"/>
      <c r="B28" s="39"/>
      <c r="C28" s="39"/>
      <c r="D28" s="39"/>
      <c r="E28" s="39"/>
      <c r="F28" s="39"/>
      <c r="G28" s="39"/>
      <c r="H28" s="39"/>
      <c r="I28" s="39"/>
      <c r="J28" s="39"/>
      <c r="K28" s="39"/>
      <c r="L28" s="39"/>
      <c r="M28" s="39"/>
      <c r="N28" s="39"/>
      <c r="O28" s="39"/>
      <c r="P28" s="39"/>
      <c r="Q28" s="39"/>
    </row>
    <row r="29" customFormat="false" ht="18" hidden="false" customHeight="true" outlineLevel="0" collapsed="false">
      <c r="A29" s="39"/>
      <c r="B29" s="55" t="s">
        <v>49</v>
      </c>
      <c r="C29" s="39"/>
      <c r="D29" s="39"/>
      <c r="E29" s="39"/>
      <c r="F29" s="39"/>
      <c r="G29" s="39"/>
      <c r="H29" s="39"/>
      <c r="I29" s="39"/>
      <c r="J29" s="39"/>
      <c r="K29" s="39"/>
      <c r="L29" s="39"/>
      <c r="M29" s="39"/>
      <c r="N29" s="39"/>
      <c r="O29" s="39"/>
      <c r="P29" s="39"/>
      <c r="Q29" s="39"/>
    </row>
    <row r="30" customFormat="false" ht="18" hidden="false" customHeight="true" outlineLevel="0" collapsed="false">
      <c r="A30" s="39"/>
      <c r="B30" s="39"/>
      <c r="C30" s="39"/>
      <c r="D30" s="39"/>
      <c r="E30" s="39"/>
      <c r="F30" s="39"/>
      <c r="G30" s="39"/>
      <c r="H30" s="39"/>
      <c r="I30" s="39"/>
      <c r="J30" s="39"/>
      <c r="K30" s="39"/>
      <c r="L30" s="39"/>
      <c r="M30" s="39"/>
      <c r="N30" s="39"/>
      <c r="O30" s="39"/>
      <c r="P30" s="39"/>
      <c r="Q30" s="39"/>
    </row>
    <row r="31" customFormat="false" ht="18" hidden="false" customHeight="true" outlineLevel="0" collapsed="false">
      <c r="A31" s="39"/>
      <c r="B31" s="56" t="s">
        <v>42</v>
      </c>
      <c r="C31" s="56" t="s">
        <v>27</v>
      </c>
      <c r="D31" s="56" t="s">
        <v>28</v>
      </c>
      <c r="E31" s="56" t="s">
        <v>29</v>
      </c>
      <c r="F31" s="39"/>
      <c r="G31" s="39"/>
      <c r="H31" s="39"/>
      <c r="I31" s="39"/>
      <c r="J31" s="39"/>
      <c r="K31" s="39"/>
      <c r="L31" s="39"/>
      <c r="M31" s="39"/>
      <c r="N31" s="39"/>
      <c r="O31" s="39"/>
      <c r="P31" s="39"/>
      <c r="Q31" s="39"/>
    </row>
    <row r="32" customFormat="false" ht="18" hidden="false" customHeight="true" outlineLevel="0" collapsed="false">
      <c r="A32" s="39"/>
      <c r="B32" s="57" t="n">
        <f aca="false">INDEX('Sample Data'!$A$2:$A$145,MATCH(1,'Sample Data'!$I$2:$I$145,0))</f>
        <v>45901</v>
      </c>
      <c r="C32" s="58" t="str">
        <f aca="false">INDEX('Sample Data'!$B$2:$B$145,MATCH(1,'Sample Data'!$I$2:$I$145,0))</f>
        <v>North America</v>
      </c>
      <c r="D32" s="58" t="str">
        <f aca="false">INDEX('Sample Data'!$C$2:$C$145,MATCH(1,'Sample Data'!$I$2:$I$145,0))</f>
        <v>Software</v>
      </c>
      <c r="E32" s="59" t="n">
        <f aca="false">INDEX('Sample Data'!$D$2:$D$145,MATCH(1,'Sample Data'!$I$2:$I$145,0))</f>
        <v>65400</v>
      </c>
      <c r="F32" s="39"/>
      <c r="G32" s="39"/>
      <c r="H32" s="39"/>
      <c r="I32" s="39"/>
      <c r="J32" s="39"/>
      <c r="K32" s="39"/>
      <c r="L32" s="39"/>
      <c r="M32" s="39"/>
      <c r="N32" s="39"/>
      <c r="O32" s="39"/>
      <c r="P32" s="39"/>
      <c r="Q32" s="39"/>
    </row>
    <row r="33" customFormat="false" ht="18" hidden="false" customHeight="true" outlineLevel="0" collapsed="false">
      <c r="A33" s="39"/>
      <c r="B33" s="57" t="n">
        <f aca="false">INDEX('Sample Data'!$A$2:$A$145,MATCH(2,'Sample Data'!$I$2:$I$145,0))</f>
        <v>45992</v>
      </c>
      <c r="C33" s="58" t="str">
        <f aca="false">INDEX('Sample Data'!$B$2:$B$145,MATCH(2,'Sample Data'!$I$2:$I$145,0))</f>
        <v>North America</v>
      </c>
      <c r="D33" s="58" t="str">
        <f aca="false">INDEX('Sample Data'!$C$2:$C$145,MATCH(2,'Sample Data'!$I$2:$I$145,0))</f>
        <v>Software</v>
      </c>
      <c r="E33" s="59" t="n">
        <f aca="false">INDEX('Sample Data'!$D$2:$D$145,MATCH(2,'Sample Data'!$I$2:$I$145,0))</f>
        <v>64600</v>
      </c>
      <c r="F33" s="39"/>
      <c r="G33" s="39"/>
      <c r="H33" s="39"/>
      <c r="I33" s="39"/>
      <c r="J33" s="39"/>
      <c r="K33" s="39"/>
      <c r="L33" s="39"/>
      <c r="M33" s="39"/>
      <c r="N33" s="39"/>
      <c r="O33" s="39"/>
      <c r="P33" s="39"/>
      <c r="Q33" s="39"/>
    </row>
    <row r="34" customFormat="false" ht="18" hidden="false" customHeight="true" outlineLevel="0" collapsed="false">
      <c r="A34" s="39"/>
      <c r="B34" s="57" t="n">
        <f aca="false">INDEX('Sample Data'!$A$2:$A$145,MATCH(3,'Sample Data'!$I$2:$I$145,0))</f>
        <v>45689</v>
      </c>
      <c r="C34" s="58" t="str">
        <f aca="false">INDEX('Sample Data'!$B$2:$B$145,MATCH(3,'Sample Data'!$I$2:$I$145,0))</f>
        <v>North America</v>
      </c>
      <c r="D34" s="58" t="str">
        <f aca="false">INDEX('Sample Data'!$C$2:$C$145,MATCH(3,'Sample Data'!$I$2:$I$145,0))</f>
        <v>Software</v>
      </c>
      <c r="E34" s="59" t="n">
        <f aca="false">INDEX('Sample Data'!$D$2:$D$145,MATCH(3,'Sample Data'!$I$2:$I$145,0))</f>
        <v>61800</v>
      </c>
      <c r="F34" s="39"/>
      <c r="G34" s="39"/>
      <c r="H34" s="39"/>
      <c r="I34" s="39"/>
      <c r="J34" s="39"/>
      <c r="K34" s="39"/>
      <c r="L34" s="39"/>
      <c r="M34" s="39"/>
      <c r="N34" s="39"/>
      <c r="O34" s="39"/>
      <c r="P34" s="39"/>
      <c r="Q34" s="39"/>
    </row>
    <row r="35" customFormat="false" ht="18" hidden="false" customHeight="true" outlineLevel="0" collapsed="false">
      <c r="A35" s="39"/>
      <c r="B35" s="57" t="n">
        <f aca="false">INDEX('Sample Data'!$A$2:$A$145,MATCH(4,'Sample Data'!$I$2:$I$145,0))</f>
        <v>45870</v>
      </c>
      <c r="C35" s="58" t="str">
        <f aca="false">INDEX('Sample Data'!$B$2:$B$145,MATCH(4,'Sample Data'!$I$2:$I$145,0))</f>
        <v>North America</v>
      </c>
      <c r="D35" s="58" t="str">
        <f aca="false">INDEX('Sample Data'!$C$2:$C$145,MATCH(4,'Sample Data'!$I$2:$I$145,0))</f>
        <v>Software</v>
      </c>
      <c r="E35" s="59" t="n">
        <f aca="false">INDEX('Sample Data'!$D$2:$D$145,MATCH(4,'Sample Data'!$I$2:$I$145,0))</f>
        <v>58000</v>
      </c>
      <c r="F35" s="39"/>
      <c r="G35" s="39"/>
      <c r="H35" s="39"/>
      <c r="I35" s="39"/>
      <c r="J35" s="39"/>
      <c r="K35" s="39"/>
      <c r="L35" s="39"/>
      <c r="M35" s="39"/>
      <c r="N35" s="39"/>
      <c r="O35" s="39"/>
      <c r="P35" s="39"/>
      <c r="Q35" s="39"/>
    </row>
    <row r="36" customFormat="false" ht="18" hidden="false" customHeight="true" outlineLevel="0" collapsed="false">
      <c r="A36" s="39"/>
      <c r="B36" s="57" t="n">
        <f aca="false">INDEX('Sample Data'!$A$2:$A$145,MATCH(5,'Sample Data'!$I$2:$I$145,0))</f>
        <v>45962</v>
      </c>
      <c r="C36" s="58" t="str">
        <f aca="false">INDEX('Sample Data'!$B$2:$B$145,MATCH(5,'Sample Data'!$I$2:$I$145,0))</f>
        <v>North America</v>
      </c>
      <c r="D36" s="58" t="str">
        <f aca="false">INDEX('Sample Data'!$C$2:$C$145,MATCH(5,'Sample Data'!$I$2:$I$145,0))</f>
        <v>Software</v>
      </c>
      <c r="E36" s="59" t="n">
        <f aca="false">INDEX('Sample Data'!$D$2:$D$145,MATCH(5,'Sample Data'!$I$2:$I$145,0))</f>
        <v>58000</v>
      </c>
      <c r="F36" s="39"/>
      <c r="G36" s="39"/>
      <c r="H36" s="39"/>
      <c r="I36" s="39"/>
      <c r="J36" s="39"/>
      <c r="K36" s="39"/>
      <c r="L36" s="39"/>
      <c r="M36" s="39"/>
      <c r="N36" s="39"/>
      <c r="O36" s="39"/>
      <c r="P36" s="39"/>
      <c r="Q36" s="39"/>
    </row>
    <row r="37" customFormat="false" ht="18" hidden="false" customHeight="true" outlineLevel="0" collapsed="false">
      <c r="A37" s="39"/>
      <c r="B37" s="39"/>
      <c r="C37" s="39"/>
      <c r="D37" s="39"/>
      <c r="E37" s="39"/>
      <c r="F37" s="39"/>
      <c r="G37" s="39"/>
      <c r="H37" s="39"/>
      <c r="I37" s="39"/>
      <c r="J37" s="39"/>
      <c r="K37" s="39"/>
      <c r="L37" s="39"/>
      <c r="M37" s="39"/>
      <c r="N37" s="39"/>
      <c r="O37" s="39"/>
      <c r="P37" s="39"/>
      <c r="Q37" s="39"/>
    </row>
    <row r="38" customFormat="false" ht="18" hidden="false" customHeight="true" outlineLevel="0" collapsed="false">
      <c r="A38" s="39"/>
      <c r="B38" s="39"/>
      <c r="C38" s="39"/>
      <c r="D38" s="39"/>
      <c r="E38" s="39"/>
      <c r="F38" s="39"/>
      <c r="G38" s="39"/>
      <c r="H38" s="39"/>
      <c r="I38" s="39"/>
      <c r="J38" s="39"/>
      <c r="K38" s="39"/>
      <c r="L38" s="39"/>
      <c r="M38" s="39"/>
      <c r="N38" s="39"/>
      <c r="O38" s="39"/>
      <c r="P38" s="39"/>
      <c r="Q38" s="39"/>
    </row>
    <row r="39" customFormat="false" ht="18" hidden="false" customHeight="true" outlineLevel="0" collapsed="false">
      <c r="A39" s="39"/>
      <c r="B39" s="39"/>
      <c r="C39" s="39"/>
      <c r="D39" s="39"/>
      <c r="E39" s="39"/>
      <c r="F39" s="39"/>
      <c r="G39" s="39"/>
      <c r="H39" s="39"/>
      <c r="I39" s="39"/>
      <c r="J39" s="39"/>
      <c r="K39" s="39"/>
      <c r="L39" s="39"/>
      <c r="M39" s="39"/>
      <c r="N39" s="39"/>
      <c r="O39" s="39"/>
      <c r="P39" s="39"/>
      <c r="Q39" s="39"/>
    </row>
    <row r="40" customFormat="false" ht="18" hidden="false" customHeight="true" outlineLevel="0" collapsed="false">
      <c r="A40" s="39"/>
      <c r="B40" s="39"/>
      <c r="C40" s="39"/>
      <c r="D40" s="39"/>
      <c r="E40" s="39"/>
      <c r="F40" s="39"/>
      <c r="G40" s="39"/>
      <c r="H40" s="39"/>
      <c r="I40" s="39"/>
      <c r="J40" s="39"/>
      <c r="K40" s="39"/>
      <c r="L40" s="39"/>
      <c r="M40" s="39"/>
      <c r="N40" s="39"/>
      <c r="O40" s="39"/>
      <c r="P40" s="39"/>
      <c r="Q40" s="39"/>
    </row>
    <row r="41" customFormat="false" ht="18" hidden="false" customHeight="true" outlineLevel="0" collapsed="false">
      <c r="A41" s="39"/>
      <c r="B41" s="39"/>
      <c r="C41" s="39"/>
      <c r="D41" s="39"/>
      <c r="E41" s="39"/>
      <c r="F41" s="39"/>
      <c r="G41" s="39"/>
      <c r="H41" s="39"/>
      <c r="I41" s="39"/>
      <c r="J41" s="39"/>
      <c r="K41" s="39"/>
      <c r="L41" s="39"/>
      <c r="M41" s="39"/>
      <c r="N41" s="39"/>
      <c r="O41" s="39"/>
      <c r="P41" s="39"/>
      <c r="Q41" s="39"/>
    </row>
    <row r="42" customFormat="false" ht="18" hidden="false" customHeight="true" outlineLevel="0" collapsed="false">
      <c r="A42" s="39"/>
      <c r="B42" s="39"/>
      <c r="C42" s="39"/>
      <c r="D42" s="39"/>
      <c r="E42" s="39"/>
      <c r="F42" s="39"/>
      <c r="G42" s="39"/>
      <c r="H42" s="39"/>
      <c r="I42" s="39"/>
      <c r="J42" s="39"/>
      <c r="K42" s="39"/>
      <c r="L42" s="39"/>
      <c r="M42" s="39"/>
      <c r="N42" s="39"/>
      <c r="O42" s="39"/>
      <c r="P42" s="39"/>
      <c r="Q42" s="39"/>
    </row>
    <row r="43" customFormat="false" ht="18" hidden="false" customHeight="true" outlineLevel="0" collapsed="false">
      <c r="A43" s="39"/>
      <c r="B43" s="39"/>
      <c r="C43" s="39"/>
      <c r="D43" s="39"/>
      <c r="E43" s="39"/>
      <c r="F43" s="39"/>
      <c r="G43" s="39"/>
      <c r="H43" s="39"/>
      <c r="I43" s="39"/>
      <c r="J43" s="39"/>
      <c r="K43" s="39"/>
      <c r="L43" s="39"/>
      <c r="M43" s="39"/>
      <c r="N43" s="39"/>
      <c r="O43" s="39"/>
      <c r="P43" s="39"/>
      <c r="Q43" s="39"/>
    </row>
    <row r="44" customFormat="false" ht="18" hidden="false" customHeight="true" outlineLevel="0" collapsed="false">
      <c r="A44" s="39"/>
      <c r="B44" s="39"/>
      <c r="C44" s="39"/>
      <c r="D44" s="39"/>
      <c r="E44" s="39"/>
      <c r="F44" s="39"/>
      <c r="G44" s="39"/>
      <c r="H44" s="39"/>
      <c r="I44" s="39"/>
      <c r="J44" s="39"/>
      <c r="K44" s="39"/>
      <c r="L44" s="39"/>
      <c r="M44" s="39"/>
      <c r="N44" s="39"/>
      <c r="O44" s="39"/>
      <c r="P44" s="39"/>
      <c r="Q44" s="39"/>
    </row>
  </sheetData>
  <dataValidations count="2">
    <dataValidation allowBlank="false" errorStyle="stop" operator="between" showDropDown="false" showErrorMessage="false" showInputMessage="false" sqref="B6" type="list">
      <formula1>"All,North America,Europe,APAC,LATAM"</formula1>
      <formula2>0</formula2>
    </dataValidation>
    <dataValidation allowBlank="false" errorStyle="stop" operator="between" showDropDown="false" showErrorMessage="false" showInputMessage="false" sqref="E6" type="list">
      <formula1>"All,Software,Hardware,Services"</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LibreOffice/26.2.4.2$Linux_AARCH64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2026-07-10T07:33:37Z</dcterms:created>
  <dc:creator>openpyxl</dc:creator>
  <dc:description/>
  <dc:language>en-US</dc:language>
  <cp:lastModifiedBy/>
  <dcterms:modified xsi:type="dcterms:W3CDTF">2026-07-10T13:18:38Z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