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7.xml" ContentType="application/vnd.openxmlformats-officedocument.drawingml.chart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6.xml" ContentType="application/vnd.ms-office.chartcolorstyle+xml"/>
  <Override PartName="/xl/charts/colors5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olors7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Read Me" sheetId="2" state="visible" r:id="rId4"/>
    <sheet name="Keywords" sheetId="3" state="visible" r:id="rId5"/>
    <sheet name="Transactions" sheetId="4" state="visible" r:id="rId6"/>
    <sheet name="Income Tracker" sheetId="5" state="visible" r:id="rId7"/>
    <sheet name="Expense Tracker" sheetId="6" state="visible" r:id="rId8"/>
    <sheet name="Savings Goals" sheetId="7" state="visible" r:id="rId9"/>
    <sheet name="Investment Tracker" sheetId="8" state="visible" r:id="rId10"/>
    <sheet name="Subscription Tracker" sheetId="9" state="visible" r:id="rId11"/>
    <sheet name="Net Worth Dashboard" sheetId="10" state="visible" r:id="rId12"/>
    <sheet name="Monthly Trends" sheetId="11" state="visible" r:id="rId13"/>
    <sheet name="Spending Breakdown" sheetId="12" state="visible" r:id="rId14"/>
    <sheet name="Financial Health Score" sheetId="13" state="visible" r:id="rId15"/>
    <sheet name="Annual Summary Dashboard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<sst xmlns="http://schemas.openxmlformats.org/spreadsheetml/2006/main" count="328" uniqueCount="193">
  <si>
    <t xml:space="preserve">SIMRAN'S SPACE  ·  TEMPLATES</t>
  </si>
  <si>
    <t xml:space="preserve">Personal Finance Dashboard</t>
  </si>
  <si>
    <t xml:space="preserve">A modern BI-style view of your money — income, spending, savings goals, investments, subscriptions, net worth, and a single Financial Health Score, all in one file.</t>
  </si>
  <si>
    <t xml:space="preserve">WHAT'S INSIDE</t>
  </si>
  <si>
    <t xml:space="preserve">◆</t>
  </si>
  <si>
    <t xml:space="preserve">One Transactions log with keyword auto-categorization — log once, everything else updates</t>
  </si>
  <si>
    <t xml:space="preserve">Income Tracker and Expense Tracker — source and category breakdowns, not just totals</t>
  </si>
  <si>
    <t xml:space="preserve">Savings Goals with progress bars and a monthly contribution calculator</t>
  </si>
  <si>
    <t xml:space="preserve">Investment Tracker with gain/loss and allocation</t>
  </si>
  <si>
    <t xml:space="preserve">Subscription Tracker that surfaces your real annual subscription cost</t>
  </si>
  <si>
    <t xml:space="preserve">Net Worth Dashboard, Monthly Trends, and Spending Breakdown, all chart-driven</t>
  </si>
  <si>
    <t xml:space="preserve">A Financial Health Score — one number, three real inputs, no guesswork</t>
  </si>
  <si>
    <t xml:space="preserve">An Annual Summary Dashboard that pulls every number below into one page</t>
  </si>
  <si>
    <t xml:space="preserve">Built by Simran Tiwari  —  simrant.github.io</t>
  </si>
  <si>
    <t xml:space="preserve">How to use this dashboard</t>
  </si>
  <si>
    <t xml:space="preserve">1. Log every transaction once</t>
  </si>
  <si>
    <t xml:space="preserve">The Transactions tab is the only place you enter income or expenses. Everything else — Income Tracker, Expense Tracker, Monthly Trends, Net Worth, the Health Score — is a formula pulling from that one log.</t>
  </si>
  <si>
    <t xml:space="preserve">2. Fill in Savings Goals, Investments, and Subscriptions</t>
  </si>
  <si>
    <t xml:space="preserve">These three are separate from Transactions because they're balances and recurring costs, not one-off entries. Update them monthly, not per-transaction.</t>
  </si>
  <si>
    <t xml:space="preserve">3. Check the Financial Health Score</t>
  </si>
  <si>
    <t xml:space="preserve">One score, three real inputs: your savings rate, how many months of expenses your cash would cover, and how much of your income subscriptions are quietly eating. No made-up weighting — you can see exactly how it's calculated.</t>
  </si>
  <si>
    <t xml:space="preserve">4. Open the Annual Summary Dashboard last</t>
  </si>
  <si>
    <t xml:space="preserve">It's the one page built to actually look at regularly — everything else feeds it.</t>
  </si>
  <si>
    <t xml:space="preserve">Why this one's different</t>
  </si>
  <si>
    <t xml:space="preserve">Most free budget templates ask you to enter the same numbers twice — once in a transaction log, again in a summary table. This one doesn't: log a transaction once, and it flows into your Income or Expense Tracker, your Monthly Trends, your Net Worth, and your Health Score automatically. It's built to feel like a BI dashboard because that's genuinely what it is — just pointed at your own bank account instead of a company's.</t>
  </si>
  <si>
    <t xml:space="preserve">Keyword (lowercase, partial match)</t>
  </si>
  <si>
    <t xml:space="preserve">Category</t>
  </si>
  <si>
    <t xml:space="preserve">payroll</t>
  </si>
  <si>
    <t xml:space="preserve">Income</t>
  </si>
  <si>
    <t xml:space="preserve">salary</t>
  </si>
  <si>
    <t xml:space="preserve">paycheck</t>
  </si>
  <si>
    <t xml:space="preserve">freelance</t>
  </si>
  <si>
    <t xml:space="preserve">interest</t>
  </si>
  <si>
    <t xml:space="preserve">dividend</t>
  </si>
  <si>
    <t xml:space="preserve">starbucks</t>
  </si>
  <si>
    <t xml:space="preserve">Dining</t>
  </si>
  <si>
    <t xml:space="preserve">coffee</t>
  </si>
  <si>
    <t xml:space="preserve">restaurant</t>
  </si>
  <si>
    <t xml:space="preserve">doordash</t>
  </si>
  <si>
    <t xml:space="preserve">grocery</t>
  </si>
  <si>
    <t xml:space="preserve">Groceries</t>
  </si>
  <si>
    <t xml:space="preserve">trader joe</t>
  </si>
  <si>
    <t xml:space="preserve">whole foods</t>
  </si>
  <si>
    <t xml:space="preserve">safeway</t>
  </si>
  <si>
    <t xml:space="preserve">uber</t>
  </si>
  <si>
    <t xml:space="preserve">Transport</t>
  </si>
  <si>
    <t xml:space="preserve">lyft</t>
  </si>
  <si>
    <t xml:space="preserve">gas station</t>
  </si>
  <si>
    <t xml:space="preserve">parking</t>
  </si>
  <si>
    <t xml:space="preserve">rent</t>
  </si>
  <si>
    <t xml:space="preserve">Housing</t>
  </si>
  <si>
    <t xml:space="preserve">mortgage</t>
  </si>
  <si>
    <t xml:space="preserve">electric</t>
  </si>
  <si>
    <t xml:space="preserve">Utilities</t>
  </si>
  <si>
    <t xml:space="preserve">internet</t>
  </si>
  <si>
    <t xml:space="preserve">netflix</t>
  </si>
  <si>
    <t xml:space="preserve">Subscriptions</t>
  </si>
  <si>
    <t xml:space="preserve">spotify</t>
  </si>
  <si>
    <t xml:space="preserve">gym</t>
  </si>
  <si>
    <t xml:space="preserve">Health &amp; Fitness</t>
  </si>
  <si>
    <t xml:space="preserve">doctor</t>
  </si>
  <si>
    <t xml:space="preserve">amazon</t>
  </si>
  <si>
    <t xml:space="preserve">Shopping</t>
  </si>
  <si>
    <t xml:space="preserve">target</t>
  </si>
  <si>
    <t xml:space="preserve">airbnb</t>
  </si>
  <si>
    <t xml:space="preserve">Travel</t>
  </si>
  <si>
    <t xml:space="preserve">flight</t>
  </si>
  <si>
    <t xml:space="preserve">transfer to savings</t>
  </si>
  <si>
    <t xml:space="preserve">Savings</t>
  </si>
  <si>
    <t xml:space="preserve">brokerage transfer</t>
  </si>
  <si>
    <t xml:space="preserve">Investing</t>
  </si>
  <si>
    <t xml:space="preserve">401k</t>
  </si>
  <si>
    <t xml:space="preserve">Date</t>
  </si>
  <si>
    <t xml:space="preserve">Description</t>
  </si>
  <si>
    <t xml:space="preserve">Type</t>
  </si>
  <si>
    <t xml:space="preserve">Suggested Category</t>
  </si>
  <si>
    <t xml:space="preserve">Amount</t>
  </si>
  <si>
    <t xml:space="preserve">Payroll deposit</t>
  </si>
  <si>
    <t xml:space="preserve">Whole Foods grocery run</t>
  </si>
  <si>
    <t xml:space="preserve">Expense</t>
  </si>
  <si>
    <t xml:space="preserve">Starbucks coffee</t>
  </si>
  <si>
    <t xml:space="preserve">Rent payment</t>
  </si>
  <si>
    <t xml:space="preserve">Uber to airport</t>
  </si>
  <si>
    <t xml:space="preserve">Netflix subscription</t>
  </si>
  <si>
    <t xml:space="preserve">Spotify subscription</t>
  </si>
  <si>
    <t xml:space="preserve">Gym membership</t>
  </si>
  <si>
    <t xml:space="preserve">Freelance project payment</t>
  </si>
  <si>
    <t xml:space="preserve">Amazon order</t>
  </si>
  <si>
    <t xml:space="preserve">Electric bill</t>
  </si>
  <si>
    <t xml:space="preserve">Transfer to savings</t>
  </si>
  <si>
    <t xml:space="preserve">Brokerage transfer</t>
  </si>
  <si>
    <t xml:space="preserve">Interest earned</t>
  </si>
  <si>
    <t xml:space="preserve">Safeway grocery run</t>
  </si>
  <si>
    <t xml:space="preserve">Lyft ride</t>
  </si>
  <si>
    <t xml:space="preserve">Doctor visit copay</t>
  </si>
  <si>
    <t xml:space="preserve">Income Tracker</t>
  </si>
  <si>
    <t xml:space="preserve">Every number here pulls from the Transactions tab automatically.</t>
  </si>
  <si>
    <t xml:space="preserve">Monthly income</t>
  </si>
  <si>
    <t xml:space="preserve">Income by source (YTD)</t>
  </si>
  <si>
    <t xml:space="preserve">Month</t>
  </si>
  <si>
    <t xml:space="preserve">Total Income</t>
  </si>
  <si>
    <t xml:space="preserve">Source</t>
  </si>
  <si>
    <t xml:space="preserve">Total</t>
  </si>
  <si>
    <t xml:space="preserve">Jan 2026</t>
  </si>
  <si>
    <t xml:space="preserve">Salary</t>
  </si>
  <si>
    <t xml:space="preserve">Feb 2026</t>
  </si>
  <si>
    <t xml:space="preserve">Freelance</t>
  </si>
  <si>
    <t xml:space="preserve">Interest</t>
  </si>
  <si>
    <t xml:space="preserve">Dividends</t>
  </si>
  <si>
    <t xml:space="preserve">Expense Tracker</t>
  </si>
  <si>
    <t xml:space="preserve">Same rule — this all pulls from Transactions, nothing typed in twice.</t>
  </si>
  <si>
    <t xml:space="preserve">Monthly expenses</t>
  </si>
  <si>
    <t xml:space="preserve">Spending by category (YTD)</t>
  </si>
  <si>
    <t xml:space="preserve">Total Expenses</t>
  </si>
  <si>
    <t xml:space="preserve">Savings Goals</t>
  </si>
  <si>
    <t xml:space="preserve">Goal</t>
  </si>
  <si>
    <t xml:space="preserve">Target Amount</t>
  </si>
  <si>
    <t xml:space="preserve">Current Amount</t>
  </si>
  <si>
    <t xml:space="preserve">% Complete</t>
  </si>
  <si>
    <t xml:space="preserve">Target Date</t>
  </si>
  <si>
    <t xml:space="preserve">Monthly Contribution Needed</t>
  </si>
  <si>
    <t xml:space="preserve">Emergency Fund</t>
  </si>
  <si>
    <t xml:space="preserve">Vacation</t>
  </si>
  <si>
    <t xml:space="preserve">New Laptop</t>
  </si>
  <si>
    <t xml:space="preserve">House Down Payment</t>
  </si>
  <si>
    <t xml:space="preserve">Investment Tracker</t>
  </si>
  <si>
    <t xml:space="preserve">Holding</t>
  </si>
  <si>
    <t xml:space="preserve">Amount Invested</t>
  </si>
  <si>
    <t xml:space="preserve">Current Value</t>
  </si>
  <si>
    <t xml:space="preserve">Gain/Loss $</t>
  </si>
  <si>
    <t xml:space="preserve">Gain/Loss %</t>
  </si>
  <si>
    <t xml:space="preserve">Allocation %</t>
  </si>
  <si>
    <t xml:space="preserve">S&amp;P 500 Index</t>
  </si>
  <si>
    <t xml:space="preserve">ETF</t>
  </si>
  <si>
    <t xml:space="preserve">Total Bond Market</t>
  </si>
  <si>
    <t xml:space="preserve">Company 401k</t>
  </si>
  <si>
    <t xml:space="preserve">Retirement</t>
  </si>
  <si>
    <t xml:space="preserve">Individual Stocks</t>
  </si>
  <si>
    <t xml:space="preserve">Equity</t>
  </si>
  <si>
    <t xml:space="preserve">Crypto (BTC/ETH)</t>
  </si>
  <si>
    <t xml:space="preserve">Alt</t>
  </si>
  <si>
    <t xml:space="preserve">Subscription Tracker</t>
  </si>
  <si>
    <t xml:space="preserve">Service</t>
  </si>
  <si>
    <t xml:space="preserve">Monthly Cost</t>
  </si>
  <si>
    <t xml:space="preserve">Billing Cycle</t>
  </si>
  <si>
    <t xml:space="preserve">Annual Cost</t>
  </si>
  <si>
    <t xml:space="preserve">Status</t>
  </si>
  <si>
    <t xml:space="preserve">Netflix</t>
  </si>
  <si>
    <t xml:space="preserve">Monthly</t>
  </si>
  <si>
    <t xml:space="preserve">Entertainment</t>
  </si>
  <si>
    <t xml:space="preserve">Active</t>
  </si>
  <si>
    <t xml:space="preserve">Spotify</t>
  </si>
  <si>
    <t xml:space="preserve">Gym Membership</t>
  </si>
  <si>
    <t xml:space="preserve">Cloud Storage</t>
  </si>
  <si>
    <t xml:space="preserve">Software</t>
  </si>
  <si>
    <t xml:space="preserve">Meal Kit</t>
  </si>
  <si>
    <t xml:space="preserve">Cancelled</t>
  </si>
  <si>
    <t xml:space="preserve">News Subscription</t>
  </si>
  <si>
    <t xml:space="preserve">Total active annual cost</t>
  </si>
  <si>
    <t xml:space="preserve">Net Worth Dashboard</t>
  </si>
  <si>
    <t xml:space="preserve">Update this snapshot monthly — Investments pulls live from the Investment Tracker total.</t>
  </si>
  <si>
    <t xml:space="preserve">Cash &amp; Savings</t>
  </si>
  <si>
    <t xml:space="preserve">Investments</t>
  </si>
  <si>
    <t xml:space="preserve">Other Assets</t>
  </si>
  <si>
    <t xml:space="preserve">Total Liabilities</t>
  </si>
  <si>
    <t xml:space="preserve">Net Worth</t>
  </si>
  <si>
    <t xml:space="preserve">Monthly Trends</t>
  </si>
  <si>
    <t xml:space="preserve">Expenses</t>
  </si>
  <si>
    <t xml:space="preserve">Net Savings</t>
  </si>
  <si>
    <t xml:space="preserve">Savings Rate %</t>
  </si>
  <si>
    <t xml:space="preserve">Spending Breakdown</t>
  </si>
  <si>
    <t xml:space="preserve">Month-over-month category comparison — where your spending is moving, not just where it landed.</t>
  </si>
  <si>
    <t xml:space="preserve">Change</t>
  </si>
  <si>
    <t xml:space="preserve">Financial Health Score</t>
  </si>
  <si>
    <t xml:space="preserve">Three real inputs, no hidden weighting — see exactly how the score is built.</t>
  </si>
  <si>
    <t xml:space="preserve">Component</t>
  </si>
  <si>
    <t xml:space="preserve">Score (0-100)</t>
  </si>
  <si>
    <t xml:space="preserve">How it's calculated</t>
  </si>
  <si>
    <t xml:space="preserve">Savings Rate</t>
  </si>
  <si>
    <t xml:space="preserve">Your latest month's savings rate, scaled so a 25% savings rate = 100 points.</t>
  </si>
  <si>
    <t xml:space="preserve">Emergency Fund Coverage</t>
  </si>
  <si>
    <t xml:space="preserve">Cash &amp; savings divided by 3 months of your latest expenses, scaled so full 3-month coverage = 100 points.</t>
  </si>
  <si>
    <t xml:space="preserve">Subscription Load</t>
  </si>
  <si>
    <t xml:space="preserve">Active monthly subscription cost as a share of income, scaled so subscriptions at 20%+ of income = 0 points.</t>
  </si>
  <si>
    <t xml:space="preserve">Overall Health Score</t>
  </si>
  <si>
    <t xml:space="preserve">Annual Summary Dashboard</t>
  </si>
  <si>
    <t xml:space="preserve">Every tab in this workbook, in one page.</t>
  </si>
  <si>
    <t xml:space="preserve">Total Income (YTD)</t>
  </si>
  <si>
    <t xml:space="preserve">Total Expenses (YTD)</t>
  </si>
  <si>
    <t xml:space="preserve">Net Savings (YTD)</t>
  </si>
  <si>
    <t xml:space="preserve">Net Worth (latest)</t>
  </si>
  <si>
    <t xml:space="preserve">Health Score</t>
  </si>
  <si>
    <t xml:space="preserve">Top spending categories (Feb 2026)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</si>
</sst>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m/dd/yyyy"/>
    <numFmt numFmtId="166" formatCode="\$#,##0.00;&quot;($&quot;#,##0.00\)"/>
    <numFmt numFmtId="167" formatCode="\$#,##0"/>
    <numFmt numFmtId="168" formatCode="0%"/>
    <numFmt numFmtId="169" formatCode="\$#,##0;&quot;($&quot;#,##0\)"/>
    <numFmt numFmtId="170" formatCode="\+0.0%;\-0.0%"/>
    <numFmt numFmtId="171" formatCode="0.0%"/>
    <numFmt numFmtId="172" formatCode="\$#,##0.00"/>
    <numFmt numFmtId="173" formatCode="0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B8934A"/>
      <name val="Calibri"/>
      <family val="0"/>
      <charset val="1"/>
    </font>
    <font>
      <b val="true"/>
      <sz val="30"/>
      <color rgb="FF1A1A1A"/>
      <name val="Calibri"/>
      <family val="0"/>
      <charset val="1"/>
    </font>
    <font>
      <sz val="12"/>
      <color rgb="FF4A4A4A"/>
      <name val="Calibri"/>
      <family val="0"/>
      <charset val="1"/>
    </font>
    <font>
      <sz val="10"/>
      <color rgb="FF3FA87C"/>
      <name val="Calibri"/>
      <family val="0"/>
      <charset val="1"/>
    </font>
    <font>
      <sz val="10.5"/>
      <color rgb="FF2A2A2A"/>
      <name val="Calibri"/>
      <family val="0"/>
      <charset val="1"/>
    </font>
    <font>
      <i val="true"/>
      <sz val="10"/>
      <color rgb="FF8A8A8A"/>
      <name val="Calibri"/>
      <family val="0"/>
      <charset val="1"/>
    </font>
    <font>
      <b val="true"/>
      <sz val="20"/>
      <color rgb="FF1A1A1A"/>
      <name val="Calibri"/>
      <family val="0"/>
      <charset val="1"/>
    </font>
    <font>
      <b val="true"/>
      <sz val="13"/>
      <color rgb="FFB8934A"/>
      <name val="Calibri"/>
      <family val="0"/>
      <charset val="1"/>
    </font>
    <font>
      <sz val="11"/>
      <color rgb="FF333333"/>
      <name val="Calibri"/>
      <family val="0"/>
      <charset val="1"/>
    </font>
    <font>
      <b val="true"/>
      <sz val="10.5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8"/>
      <color rgb="FF1A1A1A"/>
      <name val="Calibri"/>
      <family val="0"/>
      <charset val="1"/>
    </font>
    <font>
      <sz val="10.5"/>
      <color rgb="FF6B6B6B"/>
      <name val="Calibri"/>
      <family val="0"/>
      <charset val="1"/>
    </font>
    <font>
      <b val="true"/>
      <sz val="12"/>
      <color rgb="FFB8934A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1A1A1A"/>
      <name val="Calibri"/>
      <family val="0"/>
      <charset val="1"/>
    </font>
    <font>
      <b val="true"/>
      <sz val="14"/>
      <color rgb="FF3FA87C"/>
      <name val="Calibri"/>
      <family val="0"/>
      <charset val="1"/>
    </font>
    <font>
      <sz val="10.5"/>
      <color rgb="FF1A1A1A"/>
      <name val="Calibri"/>
      <family val="0"/>
      <charset val="1"/>
    </font>
    <font>
      <b val="true"/>
      <sz val="13"/>
      <color rgb="FF3FA87C"/>
      <name val="Calibri"/>
      <family val="0"/>
      <charset val="1"/>
    </font>
    <font>
      <sz val="9.5"/>
      <color rgb="FF6B6B6B"/>
      <name val="Calibri"/>
      <family val="0"/>
      <charset val="1"/>
    </font>
    <font>
      <b val="true"/>
      <sz val="14"/>
      <color rgb="FFB8934A"/>
      <name val="Calibri"/>
      <family val="0"/>
      <charset val="1"/>
    </font>
    <font>
      <b val="true"/>
      <sz val="28"/>
      <color rgb="FFB8934A"/>
      <name val="Calibri"/>
      <family val="0"/>
      <charset val="1"/>
    </font>
    <font>
      <b val="true"/>
      <sz val="22"/>
      <color rgb="FF1A1A1A"/>
      <name val="Calibri"/>
      <family val="0"/>
      <charset val="1"/>
    </font>
    <font>
      <i val="true"/>
      <sz val="11"/>
      <color rgb="FF6B6B6B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6"/>
      <color rgb="FF3FA87C"/>
      <name val="Calibri"/>
      <family val="0"/>
      <charset val="1"/>
    </font>
    <font>
      <b val="true"/>
      <sz val="16"/>
      <color rgb="FFB8934A"/>
      <name val="Calibri"/>
      <family val="0"/>
      <charset val="1"/>
    </font>
    <font>
      <b val="true"/>
      <sz val="16"/>
      <color rgb="FF8F6FCB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8934A"/>
        <bgColor rgb="FFCC8F8E"/>
      </patternFill>
    </fill>
    <fill>
      <patternFill patternType="solid">
        <fgColor rgb="FFF7F5EF"/>
        <bgColor rgb="FFF9F9F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3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3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3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3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color rgb="FFC0392B"/>
      </font>
    </dxf>
    <dxf>
      <font>
        <color rgb="FF2E7D4F"/>
      </font>
    </dxf>
    <dxf>
      <font>
        <b val="1"/>
        <color rgb="FFC0392B"/>
      </font>
    </dxf>
    <dxf>
      <font>
        <b val="1"/>
        <color rgb="FF2E7D4F"/>
      </font>
    </dxf>
    <dxf>
      <fill>
        <patternFill>
          <bgColor rgb="FFC0DD97"/>
        </patternFill>
      </fill>
    </dxf>
    <dxf>
      <fill>
        <patternFill>
          <bgColor rgb="FFD3D1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B6B"/>
      <rgbColor rgb="FF800080"/>
      <rgbColor rgb="FF2E7D4F"/>
      <rgbColor rgb="FFD3D1C7"/>
      <rgbColor rgb="FF878787"/>
      <rgbColor rgb="FF8F6FCB"/>
      <rgbColor rgb="FFAA433F"/>
      <rgbColor rgb="FFF7F5EF"/>
      <rgbColor rgb="FFF9F9F9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0DD97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B8934A"/>
      <rgbColor rgb="FFC0504D"/>
      <rgbColor rgb="FF8064A2"/>
      <rgbColor rgb="FF8A8A8A"/>
      <rgbColor rgb="FF003366"/>
      <rgbColor rgb="FF3FA87C"/>
      <rgbColor rgb="FF1A1A1A"/>
      <rgbColor rgb="FF2A2A2A"/>
      <rgbColor rgb="FFC0392B"/>
      <rgbColor rgb="FFBE4B48"/>
      <rgbColor rgb="FF4A4A4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Income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'Income Tracker'!G7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'Income Tracker'!$F$8:$F$11</c:f>
              <c:strCache>
                <c:ptCount val="4"/>
                <c:pt idx="0">
                  <c:v>Salary</c:v>
                </c:pt>
                <c:pt idx="1">
                  <c:v>Freelance</c:v>
                </c:pt>
                <c:pt idx="2">
                  <c:v>Interest</c:v>
                </c:pt>
                <c:pt idx="3">
                  <c:v>Dividends</c:v>
                </c:pt>
              </c:strCache>
            </c:strRef>
          </c:cat>
          <c:val>
            <c:numRef>
              <c:f>'Income Tracker'!$G$8:$G$11</c:f>
              <c:numCache>
                <c:formatCode>\$#,##0</c:formatCode>
                <c:ptCount val="4"/>
                <c:pt idx="0">
                  <c:v>9600</c:v>
                </c:pt>
                <c:pt idx="1">
                  <c:v>950</c:v>
                </c:pt>
                <c:pt idx="2">
                  <c:v>30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Spending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'Expense Tracker'!G7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'Expense Tracker'!$F$8:$F$16</c:f>
              <c:strCache>
                <c:ptCount val="9"/>
                <c:pt idx="0">
                  <c:v>Dining</c:v>
                </c:pt>
                <c:pt idx="1">
                  <c:v>Groceries</c:v>
                </c:pt>
                <c:pt idx="2">
                  <c:v>Health &amp; Fitness</c:v>
                </c:pt>
                <c:pt idx="3">
                  <c:v>Housing</c:v>
                </c:pt>
                <c:pt idx="4">
                  <c:v>Shopping</c:v>
                </c:pt>
                <c:pt idx="5">
                  <c:v>Subscriptions</c:v>
                </c:pt>
                <c:pt idx="6">
                  <c:v>Transport</c:v>
                </c:pt>
                <c:pt idx="7">
                  <c:v>Travel</c:v>
                </c:pt>
                <c:pt idx="8">
                  <c:v>Utilities</c:v>
                </c:pt>
              </c:strCache>
            </c:strRef>
          </c:cat>
          <c:val>
            <c:numRef>
              <c:f>'Expense Tracker'!$G$8:$G$16</c:f>
              <c:numCache>
                <c:formatCode>\$#,##0</c:formatCode>
                <c:ptCount val="9"/>
                <c:pt idx="0">
                  <c:v>7.25</c:v>
                </c:pt>
                <c:pt idx="1">
                  <c:v>170.6</c:v>
                </c:pt>
                <c:pt idx="2">
                  <c:v>100</c:v>
                </c:pt>
                <c:pt idx="3">
                  <c:v>3600</c:v>
                </c:pt>
                <c:pt idx="4">
                  <c:v>68.1</c:v>
                </c:pt>
                <c:pt idx="5">
                  <c:v>54.96</c:v>
                </c:pt>
                <c:pt idx="6">
                  <c:v>59.7</c:v>
                </c:pt>
                <c:pt idx="7">
                  <c:v>-0</c:v>
                </c:pt>
                <c:pt idx="8">
                  <c:v>81.3</c:v>
                </c:pt>
              </c:numCache>
            </c:numRef>
          </c:val>
        </c:ser>
        <c:gapWidth val="150"/>
        <c:overlap val="0"/>
        <c:axId val="46657424"/>
        <c:axId val="80702167"/>
      </c:barChart>
      <c:catAx>
        <c:axId val="4665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702167"/>
        <c:crosses val="autoZero"/>
        <c:auto val="1"/>
        <c:lblAlgn val="ctr"/>
        <c:lblOffset val="100"/>
        <c:noMultiLvlLbl val="0"/>
      </c:catAx>
      <c:valAx>
        <c:axId val="807021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65742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Portfolio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'Investment Tracker'!E4</c:f>
              <c:strCache>
                <c:ptCount val="1"/>
                <c:pt idx="0">
                  <c:v>Current Value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'Investment Tracker'!$B$5:$B$9</c:f>
              <c:strCache>
                <c:ptCount val="5"/>
                <c:pt idx="0">
                  <c:v>S&amp;P 500 Index</c:v>
                </c:pt>
                <c:pt idx="1">
                  <c:v>Total Bond Market</c:v>
                </c:pt>
                <c:pt idx="2">
                  <c:v>Company 401k</c:v>
                </c:pt>
                <c:pt idx="3">
                  <c:v>Individual Stocks</c:v>
                </c:pt>
                <c:pt idx="4">
                  <c:v>Crypto (BTC/ETH)</c:v>
                </c:pt>
              </c:strCache>
            </c:strRef>
          </c:cat>
          <c:val>
            <c:numRef>
              <c:f>'Investment Tracker'!$E$5:$E$9</c:f>
              <c:numCache>
                <c:formatCode>\$#,##0</c:formatCode>
                <c:ptCount val="5"/>
                <c:pt idx="0">
                  <c:v>13850</c:v>
                </c:pt>
                <c:pt idx="1">
                  <c:v>6120</c:v>
                </c:pt>
                <c:pt idx="2">
                  <c:v>25400</c:v>
                </c:pt>
                <c:pt idx="3">
                  <c:v>3650</c:v>
                </c:pt>
                <c:pt idx="4">
                  <c:v>2100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Net worth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'Net Worth Dashboard'!G5</c:f>
              <c:strCache>
                <c:ptCount val="1"/>
                <c:pt idx="0">
                  <c:v>Net Worth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'Net Worth Dashboard'!$B$6:$B$7</c:f>
              <c:strCache>
                <c:ptCount val="2"/>
                <c:pt idx="0">
                  <c:v>Jan 2026</c:v>
                </c:pt>
                <c:pt idx="1">
                  <c:v>Feb 2026</c:v>
                </c:pt>
              </c:strCache>
            </c:strRef>
          </c:cat>
          <c:val>
            <c:numRef>
              <c:f>'Net Worth Dashboard'!$G$6:$G$7</c:f>
              <c:numCache>
                <c:formatCode>\$#,##0</c:formatCode>
                <c:ptCount val="2"/>
                <c:pt idx="0">
                  <c:v>62200</c:v>
                </c:pt>
                <c:pt idx="1">
                  <c:v>69420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787327"/>
        <c:axId val="49930766"/>
      </c:lineChart>
      <c:catAx>
        <c:axId val="178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930766"/>
        <c:crosses val="autoZero"/>
        <c:auto val="1"/>
        <c:lblAlgn val="ctr"/>
        <c:lblOffset val="100"/>
        <c:noMultiLvlLbl val="0"/>
      </c:catAx>
      <c:valAx>
        <c:axId val="499307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8732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Income vs. expenses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Trends'!C4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Trends'!$B$5:$B$6</c:f>
              <c:strCache>
                <c:ptCount val="2"/>
                <c:pt idx="0">
                  <c:v>Jan 2026</c:v>
                </c:pt>
                <c:pt idx="1">
                  <c:v>Feb 2026</c:v>
                </c:pt>
              </c:strCache>
            </c:strRef>
          </c:cat>
          <c:val>
            <c:numRef>
              <c:f>'Monthly Trends'!$C$5:$C$6</c:f>
              <c:numCache>
                <c:formatCode>\$#,##0</c:formatCode>
                <c:ptCount val="2"/>
                <c:pt idx="0">
                  <c:v>5764.2</c:v>
                </c:pt>
                <c:pt idx="1">
                  <c:v>4815.8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Trends'!D4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Trends'!$B$5:$B$6</c:f>
              <c:strCache>
                <c:ptCount val="2"/>
                <c:pt idx="0">
                  <c:v>Jan 2026</c:v>
                </c:pt>
                <c:pt idx="1">
                  <c:v>Feb 2026</c:v>
                </c:pt>
              </c:strCache>
            </c:strRef>
          </c:cat>
          <c:val>
            <c:numRef>
              <c:f>'Monthly Trends'!$D$5:$D$6</c:f>
              <c:numCache>
                <c:formatCode>\$#,##0</c:formatCode>
                <c:ptCount val="2"/>
                <c:pt idx="0">
                  <c:v>3269.73</c:v>
                </c:pt>
                <c:pt idx="1">
                  <c:v>3072.18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9141192"/>
        <c:axId val="2902147"/>
      </c:lineChart>
      <c:catAx>
        <c:axId val="69141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02147"/>
        <c:crosses val="autoZero"/>
        <c:auto val="1"/>
        <c:lblAlgn val="ctr"/>
        <c:lblOffset val="100"/>
        <c:noMultiLvlLbl val="0"/>
      </c:catAx>
      <c:valAx>
        <c:axId val="29021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14119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Net worth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'Net Worth Dashboard'!G5</c:f>
              <c:strCache>
                <c:ptCount val="1"/>
                <c:pt idx="0">
                  <c:v>Net Worth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'Net Worth Dashboard'!$B$6:$B$7</c:f>
              <c:strCache>
                <c:ptCount val="2"/>
                <c:pt idx="0">
                  <c:v>Jan 2026</c:v>
                </c:pt>
                <c:pt idx="1">
                  <c:v>Feb 2026</c:v>
                </c:pt>
              </c:strCache>
            </c:strRef>
          </c:cat>
          <c:val>
            <c:numRef>
              <c:f>'Net Worth Dashboard'!$G$6:$G$7</c:f>
              <c:numCache>
                <c:formatCode>\$#,##0</c:formatCode>
                <c:ptCount val="2"/>
                <c:pt idx="0">
                  <c:v>62200</c:v>
                </c:pt>
                <c:pt idx="1">
                  <c:v>69420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611602"/>
        <c:axId val="39658417"/>
      </c:lineChart>
      <c:catAx>
        <c:axId val="366116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658417"/>
        <c:crosses val="autoZero"/>
        <c:auto val="1"/>
        <c:lblAlgn val="ctr"/>
        <c:lblOffset val="100"/>
        <c:noMultiLvlLbl val="0"/>
      </c:catAx>
      <c:valAx>
        <c:axId val="396584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61160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Income vs. expenses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Trends'!C4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Trends'!$B$5:$B$6</c:f>
              <c:strCache>
                <c:ptCount val="2"/>
                <c:pt idx="0">
                  <c:v>Jan 2026</c:v>
                </c:pt>
                <c:pt idx="1">
                  <c:v>Feb 2026</c:v>
                </c:pt>
              </c:strCache>
            </c:strRef>
          </c:cat>
          <c:val>
            <c:numRef>
              <c:f>'Monthly Trends'!$C$5:$C$6</c:f>
              <c:numCache>
                <c:formatCode>\$#,##0</c:formatCode>
                <c:ptCount val="2"/>
                <c:pt idx="0">
                  <c:v>5764.2</c:v>
                </c:pt>
                <c:pt idx="1">
                  <c:v>4815.8</c:v>
                </c:pt>
              </c:numCache>
            </c:numRef>
          </c:val>
        </c:ser>
        <c:ser>
          <c:idx val="1"/>
          <c:order val="1"/>
          <c:tx>
            <c:strRef>
              <c:f>'Monthly Trends'!D4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Trends'!$B$5:$B$6</c:f>
              <c:strCache>
                <c:ptCount val="2"/>
                <c:pt idx="0">
                  <c:v>Jan 2026</c:v>
                </c:pt>
                <c:pt idx="1">
                  <c:v>Feb 2026</c:v>
                </c:pt>
              </c:strCache>
            </c:strRef>
          </c:cat>
          <c:val>
            <c:numRef>
              <c:f>'Monthly Trends'!$D$5:$D$6</c:f>
              <c:numCache>
                <c:formatCode>\$#,##0</c:formatCode>
                <c:ptCount val="2"/>
                <c:pt idx="0">
                  <c:v>3269.73</c:v>
                </c:pt>
                <c:pt idx="1">
                  <c:v>3072.18</c:v>
                </c:pt>
              </c:numCache>
            </c:numRef>
          </c:val>
        </c:ser>
        <c:gapWidth val="150"/>
        <c:overlap val="0"/>
        <c:axId val="70504163"/>
        <c:axId val="94493264"/>
      </c:barChart>
      <c:catAx>
        <c:axId val="705041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493264"/>
        <c:crosses val="autoZero"/>
        <c:auto val="1"/>
        <c:lblAlgn val="ctr"/>
        <c:lblOffset val="100"/>
        <c:noMultiLvlLbl val="0"/>
      </c:catAx>
      <c:valAx>
        <c:axId val="944932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50416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0</xdr:rowOff>
    </xdr:from>
    <xdr:to>
      <xdr:col>5</xdr:col>
      <xdr:colOff>442800</xdr:colOff>
      <xdr:row>28</xdr:row>
      <xdr:rowOff>21960</xdr:rowOff>
    </xdr:to>
    <xdr:graphicFrame>
      <xdr:nvGraphicFramePr>
        <xdr:cNvPr id="1" name="Chart 1"/>
        <xdr:cNvGraphicFramePr/>
      </xdr:nvGraphicFramePr>
      <xdr:xfrm>
        <a:off x="211320" y="26992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0</xdr:rowOff>
    </xdr:from>
    <xdr:to>
      <xdr:col>6</xdr:col>
      <xdr:colOff>614160</xdr:colOff>
      <xdr:row>30</xdr:row>
      <xdr:rowOff>1080</xdr:rowOff>
    </xdr:to>
    <xdr:graphicFrame>
      <xdr:nvGraphicFramePr>
        <xdr:cNvPr id="2" name="Chart 1"/>
        <xdr:cNvGraphicFramePr/>
      </xdr:nvGraphicFramePr>
      <xdr:xfrm>
        <a:off x="211320" y="26992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0</xdr:rowOff>
    </xdr:from>
    <xdr:to>
      <xdr:col>4</xdr:col>
      <xdr:colOff>795600</xdr:colOff>
      <xdr:row>28</xdr:row>
      <xdr:rowOff>21960</xdr:rowOff>
    </xdr:to>
    <xdr:graphicFrame>
      <xdr:nvGraphicFramePr>
        <xdr:cNvPr id="3" name="Chart 1"/>
        <xdr:cNvGraphicFramePr/>
      </xdr:nvGraphicFramePr>
      <xdr:xfrm>
        <a:off x="611640" y="26992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6</xdr:col>
      <xdr:colOff>402840</xdr:colOff>
      <xdr:row>26</xdr:row>
      <xdr:rowOff>22320</xdr:rowOff>
    </xdr:to>
    <xdr:graphicFrame>
      <xdr:nvGraphicFramePr>
        <xdr:cNvPr id="4" name="Chart 1"/>
        <xdr:cNvGraphicFramePr/>
      </xdr:nvGraphicFramePr>
      <xdr:xfrm>
        <a:off x="611640" y="23184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0</xdr:rowOff>
    </xdr:from>
    <xdr:to>
      <xdr:col>7</xdr:col>
      <xdr:colOff>73440</xdr:colOff>
      <xdr:row>24</xdr:row>
      <xdr:rowOff>22320</xdr:rowOff>
    </xdr:to>
    <xdr:graphicFrame>
      <xdr:nvGraphicFramePr>
        <xdr:cNvPr id="5" name="Chart 1"/>
        <xdr:cNvGraphicFramePr/>
      </xdr:nvGraphicFramePr>
      <xdr:xfrm>
        <a:off x="611640" y="19375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4</xdr:col>
      <xdr:colOff>1233360</xdr:colOff>
      <xdr:row>23</xdr:row>
      <xdr:rowOff>22320</xdr:rowOff>
    </xdr:to>
    <xdr:graphicFrame>
      <xdr:nvGraphicFramePr>
        <xdr:cNvPr id="6" name="Chart 1"/>
        <xdr:cNvGraphicFramePr/>
      </xdr:nvGraphicFramePr>
      <xdr:xfrm>
        <a:off x="211320" y="2026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8</xdr:row>
      <xdr:rowOff>0</xdr:rowOff>
    </xdr:from>
    <xdr:to>
      <xdr:col>15</xdr:col>
      <xdr:colOff>336240</xdr:colOff>
      <xdr:row>23</xdr:row>
      <xdr:rowOff>22320</xdr:rowOff>
    </xdr:to>
    <xdr:graphicFrame>
      <xdr:nvGraphicFramePr>
        <xdr:cNvPr id="7" name="Chart 2"/>
        <xdr:cNvGraphicFramePr/>
      </xdr:nvGraphicFramePr>
      <xdr:xfrm>
        <a:off x="6555240" y="2026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934A"/>
    <pageSetUpPr fitToPage="false"/>
  </sheetPr>
  <dimension ref="B2:G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7" min="2" style="0" width="16"/>
    <col collapsed="false" customWidth="true" hidden="false" outlineLevel="0" max="8" min="8" style="0" width="3"/>
  </cols>
  <sheetData>
    <row r="2" customFormat="false" ht="15" hidden="false" customHeight="false" outlineLevel="0" collapsed="false">
      <c r="B2" s="1" t="s">
        <v>0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  <c r="G4" s="2"/>
    </row>
    <row r="5" customFormat="false" ht="15" hidden="false" customHeight="false" outlineLevel="0" collapsed="false"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B6" s="2"/>
      <c r="C6" s="2"/>
      <c r="D6" s="2"/>
      <c r="E6" s="2"/>
      <c r="F6" s="2"/>
      <c r="G6" s="2"/>
    </row>
    <row r="7" customFormat="false" ht="15" hidden="false" customHeight="true" outlineLevel="0" collapsed="false">
      <c r="B7" s="3" t="s">
        <v>2</v>
      </c>
      <c r="C7" s="3"/>
      <c r="D7" s="3"/>
      <c r="E7" s="3"/>
      <c r="F7" s="3"/>
      <c r="G7" s="3"/>
    </row>
    <row r="8" customFormat="false" ht="15" hidden="false" customHeight="false" outlineLevel="0" collapsed="false">
      <c r="B8" s="3"/>
      <c r="C8" s="3"/>
      <c r="D8" s="3"/>
      <c r="E8" s="3"/>
      <c r="F8" s="3"/>
      <c r="G8" s="3"/>
    </row>
    <row r="10" customFormat="false" ht="15" hidden="false" customHeight="false" outlineLevel="0" collapsed="false">
      <c r="B10" s="4" t="s">
        <v>3</v>
      </c>
    </row>
    <row r="11" customFormat="false" ht="15" hidden="false" customHeight="false" outlineLevel="0" collapsed="false">
      <c r="B11" s="5" t="s">
        <v>4</v>
      </c>
      <c r="C11" s="6" t="s">
        <v>5</v>
      </c>
      <c r="D11" s="6"/>
      <c r="E11" s="6"/>
      <c r="F11" s="6"/>
      <c r="G11" s="6"/>
    </row>
    <row r="12" customFormat="false" ht="15" hidden="false" customHeight="false" outlineLevel="0" collapsed="false">
      <c r="B12" s="5" t="s">
        <v>4</v>
      </c>
      <c r="C12" s="6" t="s">
        <v>6</v>
      </c>
      <c r="D12" s="6"/>
      <c r="E12" s="6"/>
      <c r="F12" s="6"/>
      <c r="G12" s="6"/>
    </row>
    <row r="13" customFormat="false" ht="15" hidden="false" customHeight="false" outlineLevel="0" collapsed="false">
      <c r="B13" s="5" t="s">
        <v>4</v>
      </c>
      <c r="C13" s="6" t="s">
        <v>7</v>
      </c>
      <c r="D13" s="6"/>
      <c r="E13" s="6"/>
      <c r="F13" s="6"/>
      <c r="G13" s="6"/>
    </row>
    <row r="14" customFormat="false" ht="15" hidden="false" customHeight="false" outlineLevel="0" collapsed="false">
      <c r="B14" s="5" t="s">
        <v>4</v>
      </c>
      <c r="C14" s="6" t="s">
        <v>8</v>
      </c>
      <c r="D14" s="6"/>
      <c r="E14" s="6"/>
      <c r="F14" s="6"/>
      <c r="G14" s="6"/>
    </row>
    <row r="15" customFormat="false" ht="15" hidden="false" customHeight="false" outlineLevel="0" collapsed="false">
      <c r="B15" s="5" t="s">
        <v>4</v>
      </c>
      <c r="C15" s="6" t="s">
        <v>9</v>
      </c>
      <c r="D15" s="6"/>
      <c r="E15" s="6"/>
      <c r="F15" s="6"/>
      <c r="G15" s="6"/>
    </row>
    <row r="16" customFormat="false" ht="15" hidden="false" customHeight="false" outlineLevel="0" collapsed="false">
      <c r="B16" s="5" t="s">
        <v>4</v>
      </c>
      <c r="C16" s="6" t="s">
        <v>10</v>
      </c>
      <c r="D16" s="6"/>
      <c r="E16" s="6"/>
      <c r="F16" s="6"/>
      <c r="G16" s="6"/>
    </row>
    <row r="17" customFormat="false" ht="15" hidden="false" customHeight="false" outlineLevel="0" collapsed="false">
      <c r="B17" s="5" t="s">
        <v>4</v>
      </c>
      <c r="C17" s="6" t="s">
        <v>11</v>
      </c>
      <c r="D17" s="6"/>
      <c r="E17" s="6"/>
      <c r="F17" s="6"/>
      <c r="G17" s="6"/>
    </row>
    <row r="18" customFormat="false" ht="15" hidden="false" customHeight="false" outlineLevel="0" collapsed="false">
      <c r="B18" s="5" t="s">
        <v>4</v>
      </c>
      <c r="C18" s="6" t="s">
        <v>12</v>
      </c>
      <c r="D18" s="6"/>
      <c r="E18" s="6"/>
      <c r="F18" s="6"/>
      <c r="G18" s="6"/>
    </row>
    <row r="21" customFormat="false" ht="15" hidden="false" customHeight="false" outlineLevel="0" collapsed="false">
      <c r="B21" s="7" t="s">
        <v>13</v>
      </c>
    </row>
  </sheetData>
  <mergeCells count="11">
    <mergeCell ref="B2:G2"/>
    <mergeCell ref="B4:G6"/>
    <mergeCell ref="B7:G8"/>
    <mergeCell ref="C11:G11"/>
    <mergeCell ref="C12:G12"/>
    <mergeCell ref="C13:G13"/>
    <mergeCell ref="C14:G14"/>
    <mergeCell ref="C15:G15"/>
    <mergeCell ref="C16:G16"/>
    <mergeCell ref="C17:G17"/>
    <mergeCell ref="C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24.45" hidden="false" customHeight="false" outlineLevel="0" collapsed="false">
      <c r="B2" s="8" t="s">
        <v>14</v>
      </c>
    </row>
    <row r="4" customFormat="false" ht="16.15" hidden="false" customHeight="false" outlineLevel="0" collapsed="false">
      <c r="B4" s="9" t="s">
        <v>15</v>
      </c>
    </row>
    <row r="5" customFormat="false" ht="23.85" hidden="false" customHeight="false" outlineLevel="0" collapsed="false">
      <c r="B5" s="10" t="s">
        <v>16</v>
      </c>
    </row>
    <row r="7" customFormat="false" ht="16.15" hidden="false" customHeight="false" outlineLevel="0" collapsed="false">
      <c r="B7" s="9" t="s">
        <v>17</v>
      </c>
    </row>
    <row r="8" customFormat="false" ht="23.85" hidden="false" customHeight="false" outlineLevel="0" collapsed="false">
      <c r="B8" s="10" t="s">
        <v>18</v>
      </c>
    </row>
    <row r="10" customFormat="false" ht="16.15" hidden="false" customHeight="false" outlineLevel="0" collapsed="false">
      <c r="B10" s="9" t="s">
        <v>19</v>
      </c>
    </row>
    <row r="11" customFormat="false" ht="23.85" hidden="false" customHeight="false" outlineLevel="0" collapsed="false">
      <c r="B11" s="10" t="s">
        <v>20</v>
      </c>
    </row>
    <row r="13" customFormat="false" ht="16.15" hidden="false" customHeight="false" outlineLevel="0" collapsed="false">
      <c r="B13" s="9" t="s">
        <v>21</v>
      </c>
    </row>
    <row r="14" customFormat="false" ht="15" hidden="false" customHeight="false" outlineLevel="0" collapsed="false">
      <c r="B14" s="10" t="s">
        <v>22</v>
      </c>
    </row>
    <row r="16" customFormat="false" ht="16.15" hidden="false" customHeight="false" outlineLevel="0" collapsed="false">
      <c r="B16" s="9" t="s">
        <v>23</v>
      </c>
    </row>
    <row r="17" customFormat="false" ht="46.25" hidden="false" customHeight="false" outlineLevel="0" collapsed="false">
      <c r="B17" s="1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</cols>
  <sheetData>
    <row r="1" customFormat="false" ht="25.5" hidden="false" customHeight="true" outlineLevel="0" collapsed="false">
      <c r="B1" s="11" t="s">
        <v>25</v>
      </c>
      <c r="C1" s="11" t="s">
        <v>26</v>
      </c>
    </row>
    <row r="2" customFormat="false" ht="15" hidden="false" customHeight="false" outlineLevel="0" collapsed="false">
      <c r="A2" s="12" t="s">
        <v>27</v>
      </c>
      <c r="B2" s="12" t="s">
        <v>28</v>
      </c>
    </row>
    <row r="3" customFormat="false" ht="15" hidden="false" customHeight="false" outlineLevel="0" collapsed="false">
      <c r="A3" s="12" t="s">
        <v>29</v>
      </c>
      <c r="B3" s="12" t="s">
        <v>28</v>
      </c>
    </row>
    <row r="4" customFormat="false" ht="15" hidden="false" customHeight="false" outlineLevel="0" collapsed="false">
      <c r="A4" s="12" t="s">
        <v>30</v>
      </c>
      <c r="B4" s="12" t="s">
        <v>28</v>
      </c>
    </row>
    <row r="5" customFormat="false" ht="15" hidden="false" customHeight="false" outlineLevel="0" collapsed="false">
      <c r="A5" s="12" t="s">
        <v>31</v>
      </c>
      <c r="B5" s="12" t="s">
        <v>28</v>
      </c>
    </row>
    <row r="6" customFormat="false" ht="15" hidden="false" customHeight="false" outlineLevel="0" collapsed="false">
      <c r="A6" s="12" t="s">
        <v>32</v>
      </c>
      <c r="B6" s="12" t="s">
        <v>28</v>
      </c>
    </row>
    <row r="7" customFormat="false" ht="15" hidden="false" customHeight="false" outlineLevel="0" collapsed="false">
      <c r="A7" s="12" t="s">
        <v>33</v>
      </c>
      <c r="B7" s="12" t="s">
        <v>28</v>
      </c>
    </row>
    <row r="8" customFormat="false" ht="15" hidden="false" customHeight="false" outlineLevel="0" collapsed="false">
      <c r="A8" s="12" t="s">
        <v>34</v>
      </c>
      <c r="B8" s="12" t="s">
        <v>35</v>
      </c>
    </row>
    <row r="9" customFormat="false" ht="15" hidden="false" customHeight="false" outlineLevel="0" collapsed="false">
      <c r="A9" s="12" t="s">
        <v>36</v>
      </c>
      <c r="B9" s="12" t="s">
        <v>35</v>
      </c>
    </row>
    <row r="10" customFormat="false" ht="15" hidden="false" customHeight="false" outlineLevel="0" collapsed="false">
      <c r="A10" s="12" t="s">
        <v>37</v>
      </c>
      <c r="B10" s="12" t="s">
        <v>35</v>
      </c>
    </row>
    <row r="11" customFormat="false" ht="15" hidden="false" customHeight="false" outlineLevel="0" collapsed="false">
      <c r="A11" s="12" t="s">
        <v>38</v>
      </c>
      <c r="B11" s="12" t="s">
        <v>35</v>
      </c>
    </row>
    <row r="12" customFormat="false" ht="15" hidden="false" customHeight="false" outlineLevel="0" collapsed="false">
      <c r="A12" s="12" t="s">
        <v>39</v>
      </c>
      <c r="B12" s="12" t="s">
        <v>40</v>
      </c>
    </row>
    <row r="13" customFormat="false" ht="15" hidden="false" customHeight="false" outlineLevel="0" collapsed="false">
      <c r="A13" s="12" t="s">
        <v>41</v>
      </c>
      <c r="B13" s="12" t="s">
        <v>40</v>
      </c>
    </row>
    <row r="14" customFormat="false" ht="15" hidden="false" customHeight="false" outlineLevel="0" collapsed="false">
      <c r="A14" s="12" t="s">
        <v>42</v>
      </c>
      <c r="B14" s="12" t="s">
        <v>40</v>
      </c>
    </row>
    <row r="15" customFormat="false" ht="15" hidden="false" customHeight="false" outlineLevel="0" collapsed="false">
      <c r="A15" s="12" t="s">
        <v>43</v>
      </c>
      <c r="B15" s="12" t="s">
        <v>40</v>
      </c>
    </row>
    <row r="16" customFormat="false" ht="15" hidden="false" customHeight="false" outlineLevel="0" collapsed="false">
      <c r="A16" s="12" t="s">
        <v>44</v>
      </c>
      <c r="B16" s="12" t="s">
        <v>45</v>
      </c>
    </row>
    <row r="17" customFormat="false" ht="15" hidden="false" customHeight="false" outlineLevel="0" collapsed="false">
      <c r="A17" s="12" t="s">
        <v>46</v>
      </c>
      <c r="B17" s="12" t="s">
        <v>45</v>
      </c>
    </row>
    <row r="18" customFormat="false" ht="15" hidden="false" customHeight="false" outlineLevel="0" collapsed="false">
      <c r="A18" s="12" t="s">
        <v>47</v>
      </c>
      <c r="B18" s="12" t="s">
        <v>45</v>
      </c>
    </row>
    <row r="19" customFormat="false" ht="15" hidden="false" customHeight="false" outlineLevel="0" collapsed="false">
      <c r="A19" s="12" t="s">
        <v>48</v>
      </c>
      <c r="B19" s="12" t="s">
        <v>45</v>
      </c>
    </row>
    <row r="20" customFormat="false" ht="15" hidden="false" customHeight="false" outlineLevel="0" collapsed="false">
      <c r="A20" s="12" t="s">
        <v>49</v>
      </c>
      <c r="B20" s="12" t="s">
        <v>50</v>
      </c>
    </row>
    <row r="21" customFormat="false" ht="15" hidden="false" customHeight="false" outlineLevel="0" collapsed="false">
      <c r="A21" s="12" t="s">
        <v>51</v>
      </c>
      <c r="B21" s="12" t="s">
        <v>50</v>
      </c>
    </row>
    <row r="22" customFormat="false" ht="15" hidden="false" customHeight="false" outlineLevel="0" collapsed="false">
      <c r="A22" s="12" t="s">
        <v>52</v>
      </c>
      <c r="B22" s="12" t="s">
        <v>53</v>
      </c>
    </row>
    <row r="23" customFormat="false" ht="15" hidden="false" customHeight="false" outlineLevel="0" collapsed="false">
      <c r="A23" s="12" t="s">
        <v>54</v>
      </c>
      <c r="B23" s="12" t="s">
        <v>53</v>
      </c>
    </row>
    <row r="24" customFormat="false" ht="15" hidden="false" customHeight="false" outlineLevel="0" collapsed="false">
      <c r="A24" s="12" t="s">
        <v>55</v>
      </c>
      <c r="B24" s="12" t="s">
        <v>56</v>
      </c>
    </row>
    <row r="25" customFormat="false" ht="15" hidden="false" customHeight="false" outlineLevel="0" collapsed="false">
      <c r="A25" s="12" t="s">
        <v>57</v>
      </c>
      <c r="B25" s="12" t="s">
        <v>56</v>
      </c>
    </row>
    <row r="26" customFormat="false" ht="15" hidden="false" customHeight="false" outlineLevel="0" collapsed="false">
      <c r="A26" s="12" t="s">
        <v>58</v>
      </c>
      <c r="B26" s="12" t="s">
        <v>59</v>
      </c>
    </row>
    <row r="27" customFormat="false" ht="15" hidden="false" customHeight="false" outlineLevel="0" collapsed="false">
      <c r="A27" s="12" t="s">
        <v>60</v>
      </c>
      <c r="B27" s="12" t="s">
        <v>59</v>
      </c>
    </row>
    <row r="28" customFormat="false" ht="15" hidden="false" customHeight="false" outlineLevel="0" collapsed="false">
      <c r="A28" s="12" t="s">
        <v>61</v>
      </c>
      <c r="B28" s="12" t="s">
        <v>62</v>
      </c>
    </row>
    <row r="29" customFormat="false" ht="15" hidden="false" customHeight="false" outlineLevel="0" collapsed="false">
      <c r="A29" s="12" t="s">
        <v>63</v>
      </c>
      <c r="B29" s="12" t="s">
        <v>62</v>
      </c>
    </row>
    <row r="30" customFormat="false" ht="15" hidden="false" customHeight="false" outlineLevel="0" collapsed="false">
      <c r="A30" s="12" t="s">
        <v>64</v>
      </c>
      <c r="B30" s="12" t="s">
        <v>65</v>
      </c>
    </row>
    <row r="31" customFormat="false" ht="15" hidden="false" customHeight="false" outlineLevel="0" collapsed="false">
      <c r="A31" s="12" t="s">
        <v>66</v>
      </c>
      <c r="B31" s="12" t="s">
        <v>65</v>
      </c>
    </row>
    <row r="32" customFormat="false" ht="15" hidden="false" customHeight="false" outlineLevel="0" collapsed="false">
      <c r="A32" s="12" t="s">
        <v>67</v>
      </c>
      <c r="B32" s="12" t="s">
        <v>68</v>
      </c>
    </row>
    <row r="33" customFormat="false" ht="15" hidden="false" customHeight="false" outlineLevel="0" collapsed="false">
      <c r="A33" s="12" t="s">
        <v>69</v>
      </c>
      <c r="B33" s="12" t="s">
        <v>70</v>
      </c>
    </row>
    <row r="34" customFormat="false" ht="15" hidden="false" customHeight="false" outlineLevel="0" collapsed="false">
      <c r="A34" s="12" t="s">
        <v>71</v>
      </c>
      <c r="B34" s="12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21.75" hidden="false" customHeight="true" outlineLevel="0" collapsed="false">
      <c r="A1" s="13" t="s">
        <v>72</v>
      </c>
      <c r="B1" s="13" t="s">
        <v>73</v>
      </c>
      <c r="C1" s="13" t="s">
        <v>74</v>
      </c>
      <c r="D1" s="13" t="s">
        <v>26</v>
      </c>
      <c r="E1" s="13" t="s">
        <v>75</v>
      </c>
      <c r="F1" s="13" t="s">
        <v>76</v>
      </c>
    </row>
    <row r="2" customFormat="false" ht="15" hidden="false" customHeight="false" outlineLevel="0" collapsed="false">
      <c r="A2" s="14" t="n">
        <v>46025</v>
      </c>
      <c r="B2" s="12" t="s">
        <v>77</v>
      </c>
      <c r="C2" s="12" t="s">
        <v>28</v>
      </c>
      <c r="D2" s="12" t="s">
        <v>28</v>
      </c>
      <c r="E2" s="12" t="str">
        <f aca="false">IFERROR(INDEX(Keywords!$B$2:$B$34,SUMPRODUCT(MAX((ISNUMBER(SEARCH(Keywords!$A$2:$A$34,B2)))*ROW(Keywords!$A$2:$A$34)))-1),"Uncategorized")</f>
        <v>Income</v>
      </c>
      <c r="F2" s="15" t="n">
        <v>4800</v>
      </c>
    </row>
    <row r="3" customFormat="false" ht="15" hidden="false" customHeight="false" outlineLevel="0" collapsed="false">
      <c r="A3" s="14" t="n">
        <v>46026</v>
      </c>
      <c r="B3" s="12" t="s">
        <v>78</v>
      </c>
      <c r="C3" s="12" t="s">
        <v>79</v>
      </c>
      <c r="D3" s="12" t="s">
        <v>40</v>
      </c>
      <c r="E3" s="12" t="str">
        <f aca="false">IFERROR(INDEX(Keywords!$B$2:$B$34,SUMPRODUCT(MAX((ISNUMBER(SEARCH(Keywords!$A$2:$A$34,B3)))*ROW(Keywords!$A$2:$A$34)))-1),"Uncategorized")</f>
        <v>Groceries</v>
      </c>
      <c r="F3" s="15" t="n">
        <v>-92.4</v>
      </c>
    </row>
    <row r="4" customFormat="false" ht="15" hidden="false" customHeight="false" outlineLevel="0" collapsed="false">
      <c r="A4" s="14" t="n">
        <v>46027</v>
      </c>
      <c r="B4" s="12" t="s">
        <v>80</v>
      </c>
      <c r="C4" s="12" t="s">
        <v>79</v>
      </c>
      <c r="D4" s="12" t="s">
        <v>35</v>
      </c>
      <c r="E4" s="12" t="str">
        <f aca="false">IFERROR(INDEX(Keywords!$B$2:$B$34,SUMPRODUCT(MAX((ISNUMBER(SEARCH(Keywords!$A$2:$A$34,B4)))*ROW(Keywords!$A$2:$A$34)))-1),"Uncategorized")</f>
        <v>Dining</v>
      </c>
      <c r="F4" s="15" t="n">
        <v>-7.25</v>
      </c>
    </row>
    <row r="5" customFormat="false" ht="15" hidden="false" customHeight="false" outlineLevel="0" collapsed="false">
      <c r="A5" s="14" t="n">
        <v>46028</v>
      </c>
      <c r="B5" s="12" t="s">
        <v>81</v>
      </c>
      <c r="C5" s="12" t="s">
        <v>79</v>
      </c>
      <c r="D5" s="12" t="s">
        <v>50</v>
      </c>
      <c r="E5" s="12" t="str">
        <f aca="false">IFERROR(INDEX(Keywords!$B$2:$B$34,SUMPRODUCT(MAX((ISNUMBER(SEARCH(Keywords!$A$2:$A$34,B5)))*ROW(Keywords!$A$2:$A$34)))-1),"Uncategorized")</f>
        <v>Housing</v>
      </c>
      <c r="F5" s="15" t="n">
        <v>-1800</v>
      </c>
    </row>
    <row r="6" customFormat="false" ht="15" hidden="false" customHeight="false" outlineLevel="0" collapsed="false">
      <c r="A6" s="14" t="n">
        <v>46030</v>
      </c>
      <c r="B6" s="12" t="s">
        <v>82</v>
      </c>
      <c r="C6" s="12" t="s">
        <v>79</v>
      </c>
      <c r="D6" s="12" t="s">
        <v>45</v>
      </c>
      <c r="E6" s="12" t="str">
        <f aca="false">IFERROR(INDEX(Keywords!$B$2:$B$34,SUMPRODUCT(MAX((ISNUMBER(SEARCH(Keywords!$A$2:$A$34,B6)))*ROW(Keywords!$A$2:$A$34)))-1),"Uncategorized")</f>
        <v>Transport</v>
      </c>
      <c r="F6" s="15" t="n">
        <v>-38.2</v>
      </c>
    </row>
    <row r="7" customFormat="false" ht="15" hidden="false" customHeight="false" outlineLevel="0" collapsed="false">
      <c r="A7" s="14" t="n">
        <v>46032</v>
      </c>
      <c r="B7" s="12" t="s">
        <v>83</v>
      </c>
      <c r="C7" s="12" t="s">
        <v>79</v>
      </c>
      <c r="D7" s="12" t="s">
        <v>56</v>
      </c>
      <c r="E7" s="12" t="str">
        <f aca="false">IFERROR(INDEX(Keywords!$B$2:$B$34,SUMPRODUCT(MAX((ISNUMBER(SEARCH(Keywords!$A$2:$A$34,B7)))*ROW(Keywords!$A$2:$A$34)))-1),"Uncategorized")</f>
        <v>Subscriptions</v>
      </c>
      <c r="F7" s="15" t="n">
        <v>-15.49</v>
      </c>
    </row>
    <row r="8" customFormat="false" ht="15" hidden="false" customHeight="false" outlineLevel="0" collapsed="false">
      <c r="A8" s="14" t="n">
        <v>46032</v>
      </c>
      <c r="B8" s="12" t="s">
        <v>84</v>
      </c>
      <c r="C8" s="12" t="s">
        <v>79</v>
      </c>
      <c r="D8" s="12" t="s">
        <v>56</v>
      </c>
      <c r="E8" s="12" t="str">
        <f aca="false">IFERROR(INDEX(Keywords!$B$2:$B$34,SUMPRODUCT(MAX((ISNUMBER(SEARCH(Keywords!$A$2:$A$34,B8)))*ROW(Keywords!$A$2:$A$34)))-1),"Uncategorized")</f>
        <v>Subscriptions</v>
      </c>
      <c r="F8" s="15" t="n">
        <v>-11.99</v>
      </c>
    </row>
    <row r="9" customFormat="false" ht="15" hidden="false" customHeight="false" outlineLevel="0" collapsed="false">
      <c r="A9" s="14" t="n">
        <v>46034</v>
      </c>
      <c r="B9" s="12" t="s">
        <v>85</v>
      </c>
      <c r="C9" s="12" t="s">
        <v>79</v>
      </c>
      <c r="D9" s="12" t="s">
        <v>59</v>
      </c>
      <c r="E9" s="12" t="str">
        <f aca="false">IFERROR(INDEX(Keywords!$B$2:$B$34,SUMPRODUCT(MAX((ISNUMBER(SEARCH(Keywords!$A$2:$A$34,B9)))*ROW(Keywords!$A$2:$A$34)))-1),"Uncategorized")</f>
        <v>Health &amp; Fitness</v>
      </c>
      <c r="F9" s="15" t="n">
        <v>-55</v>
      </c>
    </row>
    <row r="10" customFormat="false" ht="15" hidden="false" customHeight="false" outlineLevel="0" collapsed="false">
      <c r="A10" s="14" t="n">
        <v>46037</v>
      </c>
      <c r="B10" s="12" t="s">
        <v>86</v>
      </c>
      <c r="C10" s="12" t="s">
        <v>28</v>
      </c>
      <c r="D10" s="12" t="s">
        <v>28</v>
      </c>
      <c r="E10" s="12" t="str">
        <f aca="false">IFERROR(INDEX(Keywords!$B$2:$B$34,SUMPRODUCT(MAX((ISNUMBER(SEARCH(Keywords!$A$2:$A$34,B10)))*ROW(Keywords!$A$2:$A$34)))-1),"Uncategorized")</f>
        <v>Income</v>
      </c>
      <c r="F10" s="15" t="n">
        <v>950</v>
      </c>
    </row>
    <row r="11" customFormat="false" ht="15" hidden="false" customHeight="false" outlineLevel="0" collapsed="false">
      <c r="A11" s="14" t="n">
        <v>46040</v>
      </c>
      <c r="B11" s="12" t="s">
        <v>87</v>
      </c>
      <c r="C11" s="12" t="s">
        <v>79</v>
      </c>
      <c r="D11" s="12" t="s">
        <v>62</v>
      </c>
      <c r="E11" s="12" t="str">
        <f aca="false">IFERROR(INDEX(Keywords!$B$2:$B$34,SUMPRODUCT(MAX((ISNUMBER(SEARCH(Keywords!$A$2:$A$34,B11)))*ROW(Keywords!$A$2:$A$34)))-1),"Uncategorized")</f>
        <v>Shopping</v>
      </c>
      <c r="F11" s="15" t="n">
        <v>-68.1</v>
      </c>
    </row>
    <row r="12" customFormat="false" ht="15" hidden="false" customHeight="false" outlineLevel="0" collapsed="false">
      <c r="A12" s="14" t="n">
        <v>46042</v>
      </c>
      <c r="B12" s="12" t="s">
        <v>88</v>
      </c>
      <c r="C12" s="12" t="s">
        <v>79</v>
      </c>
      <c r="D12" s="12" t="s">
        <v>53</v>
      </c>
      <c r="E12" s="12" t="str">
        <f aca="false">IFERROR(INDEX(Keywords!$B$2:$B$34,SUMPRODUCT(MAX((ISNUMBER(SEARCH(Keywords!$A$2:$A$34,B12)))*ROW(Keywords!$A$2:$A$34)))-1),"Uncategorized")</f>
        <v>Utilities</v>
      </c>
      <c r="F12" s="15" t="n">
        <v>-81.3</v>
      </c>
    </row>
    <row r="13" customFormat="false" ht="15" hidden="false" customHeight="false" outlineLevel="0" collapsed="false">
      <c r="A13" s="14" t="n">
        <v>46044</v>
      </c>
      <c r="B13" s="12" t="s">
        <v>89</v>
      </c>
      <c r="C13" s="12" t="s">
        <v>79</v>
      </c>
      <c r="D13" s="12" t="s">
        <v>68</v>
      </c>
      <c r="E13" s="12" t="str">
        <f aca="false">IFERROR(INDEX(Keywords!$B$2:$B$34,SUMPRODUCT(MAX((ISNUMBER(SEARCH(Keywords!$A$2:$A$34,B13)))*ROW(Keywords!$A$2:$A$34)))-1),"Uncategorized")</f>
        <v>Savings</v>
      </c>
      <c r="F13" s="15" t="n">
        <v>-600</v>
      </c>
    </row>
    <row r="14" customFormat="false" ht="15" hidden="false" customHeight="false" outlineLevel="0" collapsed="false">
      <c r="A14" s="14" t="n">
        <v>46046</v>
      </c>
      <c r="B14" s="12" t="s">
        <v>90</v>
      </c>
      <c r="C14" s="12" t="s">
        <v>79</v>
      </c>
      <c r="D14" s="12" t="s">
        <v>70</v>
      </c>
      <c r="E14" s="12" t="str">
        <f aca="false">IFERROR(INDEX(Keywords!$B$2:$B$34,SUMPRODUCT(MAX((ISNUMBER(SEARCH(Keywords!$A$2:$A$34,B14)))*ROW(Keywords!$A$2:$A$34)))-1),"Uncategorized")</f>
        <v>Investing</v>
      </c>
      <c r="F14" s="15" t="n">
        <v>-500</v>
      </c>
    </row>
    <row r="15" customFormat="false" ht="15" hidden="false" customHeight="false" outlineLevel="0" collapsed="false">
      <c r="A15" s="14" t="n">
        <v>46048</v>
      </c>
      <c r="B15" s="12" t="s">
        <v>91</v>
      </c>
      <c r="C15" s="12" t="s">
        <v>28</v>
      </c>
      <c r="D15" s="12" t="s">
        <v>28</v>
      </c>
      <c r="E15" s="12" t="str">
        <f aca="false">IFERROR(INDEX(Keywords!$B$2:$B$34,SUMPRODUCT(MAX((ISNUMBER(SEARCH(Keywords!$A$2:$A$34,B15)))*ROW(Keywords!$A$2:$A$34)))-1),"Uncategorized")</f>
        <v>Income</v>
      </c>
      <c r="F15" s="15" t="n">
        <v>14.2</v>
      </c>
    </row>
    <row r="16" customFormat="false" ht="15" hidden="false" customHeight="false" outlineLevel="0" collapsed="false">
      <c r="A16" s="14" t="n">
        <v>46054</v>
      </c>
      <c r="B16" s="12" t="s">
        <v>77</v>
      </c>
      <c r="C16" s="12" t="s">
        <v>28</v>
      </c>
      <c r="D16" s="12" t="s">
        <v>28</v>
      </c>
      <c r="E16" s="12" t="str">
        <f aca="false">IFERROR(INDEX(Keywords!$B$2:$B$34,SUMPRODUCT(MAX((ISNUMBER(SEARCH(Keywords!$A$2:$A$34,B16)))*ROW(Keywords!$A$2:$A$34)))-1),"Uncategorized")</f>
        <v>Income</v>
      </c>
      <c r="F16" s="15" t="n">
        <v>4800</v>
      </c>
    </row>
    <row r="17" customFormat="false" ht="15" hidden="false" customHeight="false" outlineLevel="0" collapsed="false">
      <c r="A17" s="14" t="n">
        <v>46056</v>
      </c>
      <c r="B17" s="12" t="s">
        <v>81</v>
      </c>
      <c r="C17" s="12" t="s">
        <v>79</v>
      </c>
      <c r="D17" s="12" t="s">
        <v>50</v>
      </c>
      <c r="E17" s="12" t="str">
        <f aca="false">IFERROR(INDEX(Keywords!$B$2:$B$34,SUMPRODUCT(MAX((ISNUMBER(SEARCH(Keywords!$A$2:$A$34,B17)))*ROW(Keywords!$A$2:$A$34)))-1),"Uncategorized")</f>
        <v>Housing</v>
      </c>
      <c r="F17" s="15" t="n">
        <v>-1800</v>
      </c>
    </row>
    <row r="18" customFormat="false" ht="15" hidden="false" customHeight="false" outlineLevel="0" collapsed="false">
      <c r="A18" s="14" t="n">
        <v>46058</v>
      </c>
      <c r="B18" s="12" t="s">
        <v>92</v>
      </c>
      <c r="C18" s="12" t="s">
        <v>79</v>
      </c>
      <c r="D18" s="12" t="s">
        <v>40</v>
      </c>
      <c r="E18" s="12" t="str">
        <f aca="false">IFERROR(INDEX(Keywords!$B$2:$B$34,SUMPRODUCT(MAX((ISNUMBER(SEARCH(Keywords!$A$2:$A$34,B18)))*ROW(Keywords!$A$2:$A$34)))-1),"Uncategorized")</f>
        <v>Groceries</v>
      </c>
      <c r="F18" s="15" t="n">
        <v>-78.2</v>
      </c>
    </row>
    <row r="19" customFormat="false" ht="15" hidden="false" customHeight="false" outlineLevel="0" collapsed="false">
      <c r="A19" s="14" t="n">
        <v>46062</v>
      </c>
      <c r="B19" s="12" t="s">
        <v>93</v>
      </c>
      <c r="C19" s="12" t="s">
        <v>79</v>
      </c>
      <c r="D19" s="12" t="s">
        <v>45</v>
      </c>
      <c r="E19" s="12" t="str">
        <f aca="false">IFERROR(INDEX(Keywords!$B$2:$B$34,SUMPRODUCT(MAX((ISNUMBER(SEARCH(Keywords!$A$2:$A$34,B19)))*ROW(Keywords!$A$2:$A$34)))-1),"Uncategorized")</f>
        <v>Transport</v>
      </c>
      <c r="F19" s="15" t="n">
        <v>-21.5</v>
      </c>
    </row>
    <row r="20" customFormat="false" ht="15" hidden="false" customHeight="false" outlineLevel="0" collapsed="false">
      <c r="A20" s="14" t="n">
        <v>46063</v>
      </c>
      <c r="B20" s="12" t="s">
        <v>83</v>
      </c>
      <c r="C20" s="12" t="s">
        <v>79</v>
      </c>
      <c r="D20" s="12" t="s">
        <v>56</v>
      </c>
      <c r="E20" s="12" t="str">
        <f aca="false">IFERROR(INDEX(Keywords!$B$2:$B$34,SUMPRODUCT(MAX((ISNUMBER(SEARCH(Keywords!$A$2:$A$34,B20)))*ROW(Keywords!$A$2:$A$34)))-1),"Uncategorized")</f>
        <v>Subscriptions</v>
      </c>
      <c r="F20" s="15" t="n">
        <v>-15.49</v>
      </c>
    </row>
    <row r="21" customFormat="false" ht="15" hidden="false" customHeight="false" outlineLevel="0" collapsed="false">
      <c r="A21" s="14" t="n">
        <v>46063</v>
      </c>
      <c r="B21" s="12" t="s">
        <v>84</v>
      </c>
      <c r="C21" s="12" t="s">
        <v>79</v>
      </c>
      <c r="D21" s="12" t="s">
        <v>56</v>
      </c>
      <c r="E21" s="12" t="str">
        <f aca="false">IFERROR(INDEX(Keywords!$B$2:$B$34,SUMPRODUCT(MAX((ISNUMBER(SEARCH(Keywords!$A$2:$A$34,B21)))*ROW(Keywords!$A$2:$A$34)))-1),"Uncategorized")</f>
        <v>Subscriptions</v>
      </c>
      <c r="F21" s="15" t="n">
        <v>-11.99</v>
      </c>
    </row>
    <row r="22" customFormat="false" ht="15" hidden="false" customHeight="false" outlineLevel="0" collapsed="false">
      <c r="A22" s="14" t="n">
        <v>46071</v>
      </c>
      <c r="B22" s="12" t="s">
        <v>94</v>
      </c>
      <c r="C22" s="12" t="s">
        <v>79</v>
      </c>
      <c r="D22" s="12" t="s">
        <v>59</v>
      </c>
      <c r="E22" s="12" t="str">
        <f aca="false">IFERROR(INDEX(Keywords!$B$2:$B$34,SUMPRODUCT(MAX((ISNUMBER(SEARCH(Keywords!$A$2:$A$34,B22)))*ROW(Keywords!$A$2:$A$34)))-1),"Uncategorized")</f>
        <v>Health &amp; Fitness</v>
      </c>
      <c r="F22" s="15" t="n">
        <v>-45</v>
      </c>
    </row>
    <row r="23" customFormat="false" ht="15" hidden="false" customHeight="false" outlineLevel="0" collapsed="false">
      <c r="A23" s="14" t="n">
        <v>46074</v>
      </c>
      <c r="B23" s="12" t="s">
        <v>89</v>
      </c>
      <c r="C23" s="12" t="s">
        <v>79</v>
      </c>
      <c r="D23" s="12" t="s">
        <v>68</v>
      </c>
      <c r="E23" s="12" t="str">
        <f aca="false">IFERROR(INDEX(Keywords!$B$2:$B$34,SUMPRODUCT(MAX((ISNUMBER(SEARCH(Keywords!$A$2:$A$34,B23)))*ROW(Keywords!$A$2:$A$34)))-1),"Uncategorized")</f>
        <v>Savings</v>
      </c>
      <c r="F23" s="15" t="n">
        <v>-600</v>
      </c>
    </row>
    <row r="24" customFormat="false" ht="15" hidden="false" customHeight="false" outlineLevel="0" collapsed="false">
      <c r="A24" s="14" t="n">
        <v>46077</v>
      </c>
      <c r="B24" s="12" t="s">
        <v>90</v>
      </c>
      <c r="C24" s="12" t="s">
        <v>79</v>
      </c>
      <c r="D24" s="12" t="s">
        <v>70</v>
      </c>
      <c r="E24" s="12" t="str">
        <f aca="false">IFERROR(INDEX(Keywords!$B$2:$B$34,SUMPRODUCT(MAX((ISNUMBER(SEARCH(Keywords!$A$2:$A$34,B24)))*ROW(Keywords!$A$2:$A$34)))-1),"Uncategorized")</f>
        <v>Investing</v>
      </c>
      <c r="F24" s="15" t="n">
        <v>-500</v>
      </c>
    </row>
    <row r="25" customFormat="false" ht="15" hidden="false" customHeight="false" outlineLevel="0" collapsed="false">
      <c r="A25" s="14" t="n">
        <v>46080</v>
      </c>
      <c r="B25" s="12" t="s">
        <v>91</v>
      </c>
      <c r="C25" s="12" t="s">
        <v>28</v>
      </c>
      <c r="D25" s="12" t="s">
        <v>28</v>
      </c>
      <c r="E25" s="12" t="str">
        <f aca="false">IFERROR(INDEX(Keywords!$B$2:$B$34,SUMPRODUCT(MAX((ISNUMBER(SEARCH(Keywords!$A$2:$A$34,B25)))*ROW(Keywords!$A$2:$A$34)))-1),"Uncategorized")</f>
        <v>Income</v>
      </c>
      <c r="F25" s="15" t="n">
        <v>15.8</v>
      </c>
    </row>
    <row r="26" customFormat="false" ht="15" hidden="false" customHeight="false" outlineLevel="0" collapsed="false">
      <c r="A26" s="12"/>
      <c r="B26" s="12"/>
      <c r="C26" s="12"/>
      <c r="D26" s="12"/>
      <c r="E26" s="0" t="str">
        <f aca="false">IF(B26="","",IFERROR(INDEX(Keywords!$B$2:$B$34,SUMPRODUCT(MAX((ISNUMBER(SEARCH(Keywords!$A$2:$A$34,B26)))*ROW(Keywords!$A$2:$A$34)))-1),"Uncategorized"))</f>
        <v/>
      </c>
      <c r="F26" s="12"/>
    </row>
    <row r="27" customFormat="false" ht="15" hidden="false" customHeight="false" outlineLevel="0" collapsed="false">
      <c r="A27" s="12"/>
      <c r="B27" s="12"/>
      <c r="C27" s="12"/>
      <c r="D27" s="12"/>
      <c r="E27" s="0" t="str">
        <f aca="false">IF(B27="","",IFERROR(INDEX(Keywords!$B$2:$B$34,SUMPRODUCT(MAX((ISNUMBER(SEARCH(Keywords!$A$2:$A$34,B27)))*ROW(Keywords!$A$2:$A$34)))-1),"Uncategorized"))</f>
        <v/>
      </c>
      <c r="F27" s="12"/>
    </row>
    <row r="28" customFormat="false" ht="15" hidden="false" customHeight="false" outlineLevel="0" collapsed="false">
      <c r="A28" s="12"/>
      <c r="B28" s="12"/>
      <c r="C28" s="12"/>
      <c r="D28" s="12"/>
      <c r="E28" s="0" t="str">
        <f aca="false">IF(B28="","",IFERROR(INDEX(Keywords!$B$2:$B$34,SUMPRODUCT(MAX((ISNUMBER(SEARCH(Keywords!$A$2:$A$34,B28)))*ROW(Keywords!$A$2:$A$34)))-1),"Uncategorized"))</f>
        <v/>
      </c>
      <c r="F28" s="12"/>
    </row>
    <row r="29" customFormat="false" ht="15" hidden="false" customHeight="false" outlineLevel="0" collapsed="false">
      <c r="A29" s="12"/>
      <c r="B29" s="12"/>
      <c r="C29" s="12"/>
      <c r="D29" s="12"/>
      <c r="E29" s="0" t="str">
        <f aca="false">IF(B29="","",IFERROR(INDEX(Keywords!$B$2:$B$34,SUMPRODUCT(MAX((ISNUMBER(SEARCH(Keywords!$A$2:$A$34,B29)))*ROW(Keywords!$A$2:$A$34)))-1),"Uncategorized"))</f>
        <v/>
      </c>
      <c r="F29" s="12"/>
    </row>
    <row r="30" customFormat="false" ht="15" hidden="false" customHeight="false" outlineLevel="0" collapsed="false">
      <c r="A30" s="12"/>
      <c r="B30" s="12"/>
      <c r="C30" s="12"/>
      <c r="D30" s="12"/>
      <c r="E30" s="0" t="str">
        <f aca="false">IF(B30="","",IFERROR(INDEX(Keywords!$B$2:$B$34,SUMPRODUCT(MAX((ISNUMBER(SEARCH(Keywords!$A$2:$A$34,B30)))*ROW(Keywords!$A$2:$A$34)))-1),"Uncategorized"))</f>
        <v/>
      </c>
      <c r="F30" s="12"/>
    </row>
    <row r="31" customFormat="false" ht="15" hidden="false" customHeight="false" outlineLevel="0" collapsed="false">
      <c r="A31" s="12"/>
      <c r="B31" s="12"/>
      <c r="C31" s="12"/>
      <c r="D31" s="12"/>
      <c r="E31" s="0" t="str">
        <f aca="false">IF(B31="","",IFERROR(INDEX(Keywords!$B$2:$B$34,SUMPRODUCT(MAX((ISNUMBER(SEARCH(Keywords!$A$2:$A$34,B31)))*ROW(Keywords!$A$2:$A$34)))-1),"Uncategorized"))</f>
        <v/>
      </c>
      <c r="F31" s="12"/>
    </row>
    <row r="32" customFormat="false" ht="15" hidden="false" customHeight="false" outlineLevel="0" collapsed="false">
      <c r="A32" s="12"/>
      <c r="B32" s="12"/>
      <c r="C32" s="12"/>
      <c r="D32" s="12"/>
      <c r="E32" s="0" t="str">
        <f aca="false">IF(B32="","",IFERROR(INDEX(Keywords!$B$2:$B$34,SUMPRODUCT(MAX((ISNUMBER(SEARCH(Keywords!$A$2:$A$34,B32)))*ROW(Keywords!$A$2:$A$34)))-1),"Uncategorized"))</f>
        <v/>
      </c>
      <c r="F32" s="12"/>
    </row>
    <row r="33" customFormat="false" ht="15" hidden="false" customHeight="false" outlineLevel="0" collapsed="false">
      <c r="A33" s="12"/>
      <c r="B33" s="12"/>
      <c r="C33" s="12"/>
      <c r="D33" s="12"/>
      <c r="E33" s="0" t="str">
        <f aca="false">IF(B33="","",IFERROR(INDEX(Keywords!$B$2:$B$34,SUMPRODUCT(MAX((ISNUMBER(SEARCH(Keywords!$A$2:$A$34,B33)))*ROW(Keywords!$A$2:$A$34)))-1),"Uncategorized"))</f>
        <v/>
      </c>
      <c r="F33" s="12"/>
    </row>
    <row r="34" customFormat="false" ht="15" hidden="false" customHeight="false" outlineLevel="0" collapsed="false">
      <c r="A34" s="12"/>
      <c r="B34" s="12"/>
      <c r="C34" s="12"/>
      <c r="D34" s="12"/>
      <c r="E34" s="0" t="str">
        <f aca="false">IF(B34="","",IFERROR(INDEX(Keywords!$B$2:$B$34,SUMPRODUCT(MAX((ISNUMBER(SEARCH(Keywords!$A$2:$A$34,B34)))*ROW(Keywords!$A$2:$A$34)))-1),"Uncategorized"))</f>
        <v/>
      </c>
      <c r="F34" s="12"/>
    </row>
    <row r="35" customFormat="false" ht="15" hidden="false" customHeight="false" outlineLevel="0" collapsed="false">
      <c r="A35" s="12"/>
      <c r="B35" s="12"/>
      <c r="C35" s="12"/>
      <c r="D35" s="12"/>
      <c r="E35" s="0" t="str">
        <f aca="false">IF(B35="","",IFERROR(INDEX(Keywords!$B$2:$B$34,SUMPRODUCT(MAX((ISNUMBER(SEARCH(Keywords!$A$2:$A$34,B35)))*ROW(Keywords!$A$2:$A$34)))-1),"Uncategorized"))</f>
        <v/>
      </c>
      <c r="F35" s="12"/>
    </row>
    <row r="36" customFormat="false" ht="15" hidden="false" customHeight="false" outlineLevel="0" collapsed="false">
      <c r="A36" s="12"/>
      <c r="B36" s="12"/>
      <c r="C36" s="12"/>
      <c r="D36" s="12"/>
      <c r="E36" s="0" t="str">
        <f aca="false">IF(B36="","",IFERROR(INDEX(Keywords!$B$2:$B$34,SUMPRODUCT(MAX((ISNUMBER(SEARCH(Keywords!$A$2:$A$34,B36)))*ROW(Keywords!$A$2:$A$34)))-1),"Uncategorized"))</f>
        <v/>
      </c>
      <c r="F36" s="12"/>
    </row>
    <row r="37" customFormat="false" ht="15" hidden="false" customHeight="false" outlineLevel="0" collapsed="false">
      <c r="A37" s="12"/>
      <c r="B37" s="12"/>
      <c r="C37" s="12"/>
      <c r="D37" s="12"/>
      <c r="E37" s="0" t="str">
        <f aca="false">IF(B37="","",IFERROR(INDEX(Keywords!$B$2:$B$34,SUMPRODUCT(MAX((ISNUMBER(SEARCH(Keywords!$A$2:$A$34,B37)))*ROW(Keywords!$A$2:$A$34)))-1),"Uncategorized"))</f>
        <v/>
      </c>
      <c r="F37" s="12"/>
    </row>
    <row r="38" customFormat="false" ht="15" hidden="false" customHeight="false" outlineLevel="0" collapsed="false">
      <c r="A38" s="12"/>
      <c r="B38" s="12"/>
      <c r="C38" s="12"/>
      <c r="D38" s="12"/>
      <c r="E38" s="0" t="str">
        <f aca="false">IF(B38="","",IFERROR(INDEX(Keywords!$B$2:$B$34,SUMPRODUCT(MAX((ISNUMBER(SEARCH(Keywords!$A$2:$A$34,B38)))*ROW(Keywords!$A$2:$A$34)))-1),"Uncategorized"))</f>
        <v/>
      </c>
      <c r="F38" s="12"/>
    </row>
    <row r="39" customFormat="false" ht="15" hidden="false" customHeight="false" outlineLevel="0" collapsed="false">
      <c r="A39" s="12"/>
      <c r="B39" s="12"/>
      <c r="C39" s="12"/>
      <c r="D39" s="12"/>
      <c r="E39" s="0" t="str">
        <f aca="false">IF(B39="","",IFERROR(INDEX(Keywords!$B$2:$B$34,SUMPRODUCT(MAX((ISNUMBER(SEARCH(Keywords!$A$2:$A$34,B39)))*ROW(Keywords!$A$2:$A$34)))-1),"Uncategorized"))</f>
        <v/>
      </c>
      <c r="F39" s="12"/>
    </row>
    <row r="40" customFormat="false" ht="15" hidden="false" customHeight="false" outlineLevel="0" collapsed="false">
      <c r="A40" s="12"/>
      <c r="B40" s="12"/>
      <c r="C40" s="12"/>
      <c r="D40" s="12"/>
      <c r="E40" s="0" t="str">
        <f aca="false">IF(B40="","",IFERROR(INDEX(Keywords!$B$2:$B$34,SUMPRODUCT(MAX((ISNUMBER(SEARCH(Keywords!$A$2:$A$34,B40)))*ROW(Keywords!$A$2:$A$34)))-1),"Uncategorized"))</f>
        <v/>
      </c>
      <c r="F40" s="12"/>
    </row>
    <row r="41" customFormat="false" ht="15" hidden="false" customHeight="false" outlineLevel="0" collapsed="false">
      <c r="A41" s="12"/>
      <c r="B41" s="12"/>
      <c r="C41" s="12"/>
      <c r="D41" s="12"/>
      <c r="E41" s="0" t="str">
        <f aca="false">IF(B41="","",IFERROR(INDEX(Keywords!$B$2:$B$34,SUMPRODUCT(MAX((ISNUMBER(SEARCH(Keywords!$A$2:$A$34,B41)))*ROW(Keywords!$A$2:$A$34)))-1),"Uncategorized"))</f>
        <v/>
      </c>
      <c r="F41" s="12"/>
    </row>
    <row r="42" customFormat="false" ht="15" hidden="false" customHeight="false" outlineLevel="0" collapsed="false">
      <c r="A42" s="12"/>
      <c r="B42" s="12"/>
      <c r="C42" s="12"/>
      <c r="D42" s="12"/>
      <c r="E42" s="0" t="str">
        <f aca="false">IF(B42="","",IFERROR(INDEX(Keywords!$B$2:$B$34,SUMPRODUCT(MAX((ISNUMBER(SEARCH(Keywords!$A$2:$A$34,B42)))*ROW(Keywords!$A$2:$A$34)))-1),"Uncategorized"))</f>
        <v/>
      </c>
      <c r="F42" s="12"/>
    </row>
    <row r="43" customFormat="false" ht="15" hidden="false" customHeight="false" outlineLevel="0" collapsed="false">
      <c r="A43" s="12"/>
      <c r="B43" s="12"/>
      <c r="C43" s="12"/>
      <c r="D43" s="12"/>
      <c r="E43" s="0" t="str">
        <f aca="false">IF(B43="","",IFERROR(INDEX(Keywords!$B$2:$B$34,SUMPRODUCT(MAX((ISNUMBER(SEARCH(Keywords!$A$2:$A$34,B43)))*ROW(Keywords!$A$2:$A$34)))-1),"Uncategorized"))</f>
        <v/>
      </c>
      <c r="F43" s="12"/>
    </row>
    <row r="44" customFormat="false" ht="15" hidden="false" customHeight="false" outlineLevel="0" collapsed="false">
      <c r="A44" s="12"/>
      <c r="B44" s="12"/>
      <c r="C44" s="12"/>
      <c r="D44" s="12"/>
      <c r="E44" s="0" t="str">
        <f aca="false">IF(B44="","",IFERROR(INDEX(Keywords!$B$2:$B$34,SUMPRODUCT(MAX((ISNUMBER(SEARCH(Keywords!$A$2:$A$34,B44)))*ROW(Keywords!$A$2:$A$34)))-1),"Uncategorized"))</f>
        <v/>
      </c>
      <c r="F44" s="12"/>
    </row>
    <row r="45" customFormat="false" ht="15" hidden="false" customHeight="false" outlineLevel="0" collapsed="false">
      <c r="A45" s="12"/>
      <c r="B45" s="12"/>
      <c r="C45" s="12"/>
      <c r="D45" s="12"/>
      <c r="E45" s="0" t="str">
        <f aca="false">IF(B45="","",IFERROR(INDEX(Keywords!$B$2:$B$34,SUMPRODUCT(MAX((ISNUMBER(SEARCH(Keywords!$A$2:$A$34,B45)))*ROW(Keywords!$A$2:$A$34)))-1),"Uncategorized"))</f>
        <v/>
      </c>
      <c r="F45" s="12"/>
    </row>
    <row r="46" customFormat="false" ht="15" hidden="false" customHeight="false" outlineLevel="0" collapsed="false">
      <c r="A46" s="12"/>
      <c r="B46" s="12"/>
      <c r="C46" s="12"/>
      <c r="D46" s="12"/>
      <c r="E46" s="0" t="str">
        <f aca="false">IF(B46="","",IFERROR(INDEX(Keywords!$B$2:$B$34,SUMPRODUCT(MAX((ISNUMBER(SEARCH(Keywords!$A$2:$A$34,B46)))*ROW(Keywords!$A$2:$A$34)))-1),"Uncategorized"))</f>
        <v/>
      </c>
      <c r="F46" s="12"/>
    </row>
    <row r="47" customFormat="false" ht="15" hidden="false" customHeight="false" outlineLevel="0" collapsed="false">
      <c r="A47" s="12"/>
      <c r="B47" s="12"/>
      <c r="C47" s="12"/>
      <c r="D47" s="12"/>
      <c r="E47" s="0" t="str">
        <f aca="false">IF(B47="","",IFERROR(INDEX(Keywords!$B$2:$B$34,SUMPRODUCT(MAX((ISNUMBER(SEARCH(Keywords!$A$2:$A$34,B47)))*ROW(Keywords!$A$2:$A$34)))-1),"Uncategorized"))</f>
        <v/>
      </c>
      <c r="F47" s="12"/>
    </row>
    <row r="48" customFormat="false" ht="15" hidden="false" customHeight="false" outlineLevel="0" collapsed="false">
      <c r="A48" s="12"/>
      <c r="B48" s="12"/>
      <c r="C48" s="12"/>
      <c r="D48" s="12"/>
      <c r="E48" s="0" t="str">
        <f aca="false">IF(B48="","",IFERROR(INDEX(Keywords!$B$2:$B$34,SUMPRODUCT(MAX((ISNUMBER(SEARCH(Keywords!$A$2:$A$34,B48)))*ROW(Keywords!$A$2:$A$34)))-1),"Uncategorized"))</f>
        <v/>
      </c>
      <c r="F48" s="12"/>
    </row>
    <row r="49" customFormat="false" ht="15" hidden="false" customHeight="false" outlineLevel="0" collapsed="false">
      <c r="A49" s="12"/>
      <c r="B49" s="12"/>
      <c r="C49" s="12"/>
      <c r="D49" s="12"/>
      <c r="E49" s="0" t="str">
        <f aca="false">IF(B49="","",IFERROR(INDEX(Keywords!$B$2:$B$34,SUMPRODUCT(MAX((ISNUMBER(SEARCH(Keywords!$A$2:$A$34,B49)))*ROW(Keywords!$A$2:$A$34)))-1),"Uncategorized"))</f>
        <v/>
      </c>
      <c r="F49" s="12"/>
    </row>
    <row r="50" customFormat="false" ht="15" hidden="false" customHeight="false" outlineLevel="0" collapsed="false">
      <c r="A50" s="12"/>
      <c r="B50" s="12"/>
      <c r="C50" s="12"/>
      <c r="D50" s="12"/>
      <c r="E50" s="0" t="str">
        <f aca="false">IF(B50="","",IFERROR(INDEX(Keywords!$B$2:$B$34,SUMPRODUCT(MAX((ISNUMBER(SEARCH(Keywords!$A$2:$A$34,B50)))*ROW(Keywords!$A$2:$A$34)))-1),"Uncategorized"))</f>
        <v/>
      </c>
      <c r="F50" s="12"/>
    </row>
    <row r="51" customFormat="false" ht="15" hidden="false" customHeight="false" outlineLevel="0" collapsed="false">
      <c r="A51" s="12"/>
      <c r="B51" s="12"/>
      <c r="C51" s="12"/>
      <c r="D51" s="12"/>
      <c r="E51" s="0" t="str">
        <f aca="false">IF(B51="","",IFERROR(INDEX(Keywords!$B$2:$B$34,SUMPRODUCT(MAX((ISNUMBER(SEARCH(Keywords!$A$2:$A$34,B51)))*ROW(Keywords!$A$2:$A$34)))-1),"Uncategorized"))</f>
        <v/>
      </c>
      <c r="F51" s="12"/>
    </row>
    <row r="52" customFormat="false" ht="15" hidden="false" customHeight="false" outlineLevel="0" collapsed="false">
      <c r="A52" s="12"/>
      <c r="B52" s="12"/>
      <c r="C52" s="12"/>
      <c r="D52" s="12"/>
      <c r="E52" s="0" t="str">
        <f aca="false">IF(B52="","",IFERROR(INDEX(Keywords!$B$2:$B$34,SUMPRODUCT(MAX((ISNUMBER(SEARCH(Keywords!$A$2:$A$34,B52)))*ROW(Keywords!$A$2:$A$34)))-1),"Uncategorized"))</f>
        <v/>
      </c>
      <c r="F52" s="12"/>
    </row>
    <row r="53" customFormat="false" ht="15" hidden="false" customHeight="false" outlineLevel="0" collapsed="false">
      <c r="A53" s="12"/>
      <c r="B53" s="12"/>
      <c r="C53" s="12"/>
      <c r="D53" s="12"/>
      <c r="E53" s="0" t="str">
        <f aca="false">IF(B53="","",IFERROR(INDEX(Keywords!$B$2:$B$34,SUMPRODUCT(MAX((ISNUMBER(SEARCH(Keywords!$A$2:$A$34,B53)))*ROW(Keywords!$A$2:$A$34)))-1),"Uncategorized"))</f>
        <v/>
      </c>
      <c r="F53" s="12"/>
    </row>
    <row r="54" customFormat="false" ht="15" hidden="false" customHeight="false" outlineLevel="0" collapsed="false">
      <c r="A54" s="12"/>
      <c r="B54" s="12"/>
      <c r="C54" s="12"/>
      <c r="D54" s="12"/>
      <c r="E54" s="0" t="str">
        <f aca="false">IF(B54="","",IFERROR(INDEX(Keywords!$B$2:$B$34,SUMPRODUCT(MAX((ISNUMBER(SEARCH(Keywords!$A$2:$A$34,B54)))*ROW(Keywords!$A$2:$A$34)))-1),"Uncategorized"))</f>
        <v/>
      </c>
      <c r="F54" s="12"/>
    </row>
    <row r="55" customFormat="false" ht="15" hidden="false" customHeight="false" outlineLevel="0" collapsed="false">
      <c r="A55" s="12"/>
      <c r="B55" s="12"/>
      <c r="C55" s="12"/>
      <c r="D55" s="12"/>
      <c r="E55" s="0" t="str">
        <f aca="false">IF(B55="","",IFERROR(INDEX(Keywords!$B$2:$B$34,SUMPRODUCT(MAX((ISNUMBER(SEARCH(Keywords!$A$2:$A$34,B55)))*ROW(Keywords!$A$2:$A$34)))-1),"Uncategorized"))</f>
        <v/>
      </c>
      <c r="F55" s="12"/>
    </row>
    <row r="56" customFormat="false" ht="15" hidden="false" customHeight="false" outlineLevel="0" collapsed="false">
      <c r="A56" s="12"/>
      <c r="B56" s="12"/>
      <c r="C56" s="12"/>
      <c r="D56" s="12"/>
      <c r="E56" s="0" t="str">
        <f aca="false">IF(B56="","",IFERROR(INDEX(Keywords!$B$2:$B$34,SUMPRODUCT(MAX((ISNUMBER(SEARCH(Keywords!$A$2:$A$34,B56)))*ROW(Keywords!$A$2:$A$34)))-1),"Uncategorized"))</f>
        <v/>
      </c>
      <c r="F56" s="12"/>
    </row>
    <row r="57" customFormat="false" ht="15" hidden="false" customHeight="false" outlineLevel="0" collapsed="false">
      <c r="A57" s="12"/>
      <c r="B57" s="12"/>
      <c r="C57" s="12"/>
      <c r="D57" s="12"/>
      <c r="E57" s="0" t="str">
        <f aca="false">IF(B57="","",IFERROR(INDEX(Keywords!$B$2:$B$34,SUMPRODUCT(MAX((ISNUMBER(SEARCH(Keywords!$A$2:$A$34,B57)))*ROW(Keywords!$A$2:$A$34)))-1),"Uncategorized"))</f>
        <v/>
      </c>
      <c r="F57" s="12"/>
    </row>
    <row r="58" customFormat="false" ht="15" hidden="false" customHeight="false" outlineLevel="0" collapsed="false">
      <c r="A58" s="12"/>
      <c r="B58" s="12"/>
      <c r="C58" s="12"/>
      <c r="D58" s="12"/>
      <c r="E58" s="0" t="str">
        <f aca="false">IF(B58="","",IFERROR(INDEX(Keywords!$B$2:$B$34,SUMPRODUCT(MAX((ISNUMBER(SEARCH(Keywords!$A$2:$A$34,B58)))*ROW(Keywords!$A$2:$A$34)))-1),"Uncategorized"))</f>
        <v/>
      </c>
      <c r="F58" s="12"/>
    </row>
    <row r="59" customFormat="false" ht="15" hidden="false" customHeight="false" outlineLevel="0" collapsed="false">
      <c r="A59" s="12"/>
      <c r="B59" s="12"/>
      <c r="C59" s="12"/>
      <c r="D59" s="12"/>
      <c r="E59" s="0" t="str">
        <f aca="false">IF(B59="","",IFERROR(INDEX(Keywords!$B$2:$B$34,SUMPRODUCT(MAX((ISNUMBER(SEARCH(Keywords!$A$2:$A$34,B59)))*ROW(Keywords!$A$2:$A$34)))-1),"Uncategorized"))</f>
        <v/>
      </c>
      <c r="F59" s="12"/>
    </row>
    <row r="60" customFormat="false" ht="15" hidden="false" customHeight="false" outlineLevel="0" collapsed="false">
      <c r="A60" s="12"/>
      <c r="B60" s="12"/>
      <c r="C60" s="12"/>
      <c r="D60" s="12"/>
      <c r="E60" s="0" t="str">
        <f aca="false">IF(B60="","",IFERROR(INDEX(Keywords!$B$2:$B$34,SUMPRODUCT(MAX((ISNUMBER(SEARCH(Keywords!$A$2:$A$34,B60)))*ROW(Keywords!$A$2:$A$34)))-1),"Uncategorized"))</f>
        <v/>
      </c>
      <c r="F60" s="12"/>
    </row>
    <row r="61" customFormat="false" ht="15" hidden="false" customHeight="false" outlineLevel="0" collapsed="false">
      <c r="A61" s="12"/>
      <c r="B61" s="12"/>
      <c r="C61" s="12"/>
      <c r="D61" s="12"/>
      <c r="E61" s="0" t="str">
        <f aca="false">IF(B61="","",IFERROR(INDEX(Keywords!$B$2:$B$34,SUMPRODUCT(MAX((ISNUMBER(SEARCH(Keywords!$A$2:$A$34,B61)))*ROW(Keywords!$A$2:$A$34)))-1),"Uncategorized"))</f>
        <v/>
      </c>
      <c r="F61" s="12"/>
    </row>
    <row r="62" customFormat="false" ht="15" hidden="false" customHeight="false" outlineLevel="0" collapsed="false">
      <c r="A62" s="12"/>
      <c r="B62" s="12"/>
      <c r="C62" s="12"/>
      <c r="D62" s="12"/>
      <c r="E62" s="0" t="str">
        <f aca="false">IF(B62="","",IFERROR(INDEX(Keywords!$B$2:$B$34,SUMPRODUCT(MAX((ISNUMBER(SEARCH(Keywords!$A$2:$A$34,B62)))*ROW(Keywords!$A$2:$A$34)))-1),"Uncategorized"))</f>
        <v/>
      </c>
      <c r="F62" s="12"/>
    </row>
    <row r="63" customFormat="false" ht="15" hidden="false" customHeight="false" outlineLevel="0" collapsed="false">
      <c r="A63" s="12"/>
      <c r="B63" s="12"/>
      <c r="C63" s="12"/>
      <c r="D63" s="12"/>
      <c r="E63" s="0" t="str">
        <f aca="false">IF(B63="","",IFERROR(INDEX(Keywords!$B$2:$B$34,SUMPRODUCT(MAX((ISNUMBER(SEARCH(Keywords!$A$2:$A$34,B63)))*ROW(Keywords!$A$2:$A$34)))-1),"Uncategorized"))</f>
        <v/>
      </c>
      <c r="F63" s="12"/>
    </row>
    <row r="64" customFormat="false" ht="15" hidden="false" customHeight="false" outlineLevel="0" collapsed="false">
      <c r="A64" s="12"/>
      <c r="B64" s="12"/>
      <c r="C64" s="12"/>
      <c r="D64" s="12"/>
      <c r="E64" s="0" t="str">
        <f aca="false">IF(B64="","",IFERROR(INDEX(Keywords!$B$2:$B$34,SUMPRODUCT(MAX((ISNUMBER(SEARCH(Keywords!$A$2:$A$34,B64)))*ROW(Keywords!$A$2:$A$34)))-1),"Uncategorized"))</f>
        <v/>
      </c>
      <c r="F64" s="12"/>
    </row>
    <row r="65" customFormat="false" ht="15" hidden="false" customHeight="false" outlineLevel="0" collapsed="false">
      <c r="A65" s="12"/>
      <c r="B65" s="12"/>
      <c r="C65" s="12"/>
      <c r="D65" s="12"/>
      <c r="E65" s="0" t="str">
        <f aca="false">IF(B65="","",IFERROR(INDEX(Keywords!$B$2:$B$34,SUMPRODUCT(MAX((ISNUMBER(SEARCH(Keywords!$A$2:$A$34,B65)))*ROW(Keywords!$A$2:$A$34)))-1),"Uncategorized"))</f>
        <v/>
      </c>
      <c r="F65" s="12"/>
    </row>
  </sheetData>
  <conditionalFormatting sqref="F2:F65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dataValidations count="2">
    <dataValidation allowBlank="true" errorStyle="stop" operator="between" showDropDown="false" showErrorMessage="false" showInputMessage="false" sqref="C2:C65" type="list">
      <formula1>"Income,Expense"</formula1>
      <formula2>0</formula2>
    </dataValidation>
    <dataValidation allowBlank="true" errorStyle="stop" operator="between" showDropDown="false" showErrorMessage="false" showInputMessage="false" sqref="D2:D65" type="list">
      <formula1>"Dining,Groceries,Health &amp; Fitness,Housing,Income,Investing,Savings,Shopping,Subscriptions,Transport,Travel,Utilities"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3"/>
    <col collapsed="false" customWidth="true" hidden="false" outlineLevel="0" max="6" min="6" style="0" width="18"/>
    <col collapsed="false" customWidth="true" hidden="false" outlineLevel="0" max="7" min="7" style="0" width="14"/>
  </cols>
  <sheetData>
    <row r="2" customFormat="false" ht="22.05" hidden="false" customHeight="false" outlineLevel="0" collapsed="false">
      <c r="B2" s="16" t="s">
        <v>95</v>
      </c>
    </row>
    <row r="3" customFormat="false" ht="15" hidden="false" customHeight="false" outlineLevel="0" collapsed="false">
      <c r="B3" s="17" t="s">
        <v>96</v>
      </c>
    </row>
    <row r="5" customFormat="false" ht="15" hidden="false" customHeight="false" outlineLevel="0" collapsed="false">
      <c r="B5" s="18" t="s">
        <v>97</v>
      </c>
      <c r="F5" s="18" t="s">
        <v>98</v>
      </c>
    </row>
    <row r="7" customFormat="false" ht="25.5" hidden="false" customHeight="true" outlineLevel="0" collapsed="false">
      <c r="B7" s="11" t="s">
        <v>99</v>
      </c>
      <c r="C7" s="11" t="s">
        <v>100</v>
      </c>
      <c r="F7" s="11" t="s">
        <v>101</v>
      </c>
      <c r="G7" s="11" t="s">
        <v>102</v>
      </c>
    </row>
    <row r="8" customFormat="false" ht="15" hidden="false" customHeight="false" outlineLevel="0" collapsed="false">
      <c r="B8" s="19" t="s">
        <v>103</v>
      </c>
      <c r="C8" s="20" t="n">
        <f aca="false">SUMIFS(Transactions!$F$2:$F$65,Transactions!$C$2:$C$65,"Income",Transactions!$A$2:$A$65,"&gt;="&amp;DATE(2026,1,1),Transactions!$A$2:$A$65,"&lt;="&amp;DATE(2026,1,31))</f>
        <v>5764.2</v>
      </c>
      <c r="F8" s="19" t="s">
        <v>104</v>
      </c>
      <c r="G8" s="21" t="n">
        <f aca="false">SUMPRODUCT((Transactions!$C$2:$C$65="Income")*ISNUMBER(SEARCH("payroll",Transactions!$B$2:$B$65))*Transactions!$F$2:$F$65)</f>
        <v>9600</v>
      </c>
    </row>
    <row r="9" customFormat="false" ht="15" hidden="false" customHeight="false" outlineLevel="0" collapsed="false">
      <c r="B9" s="19" t="s">
        <v>105</v>
      </c>
      <c r="C9" s="20" t="n">
        <f aca="false">SUMIFS(Transactions!$F$2:$F$65,Transactions!$C$2:$C$65,"Income",Transactions!$A$2:$A$65,"&gt;="&amp;DATE(2026,2,1),Transactions!$A$2:$A$65,"&lt;="&amp;DATE(2026,2,28))</f>
        <v>4815.8</v>
      </c>
      <c r="F9" s="19" t="s">
        <v>106</v>
      </c>
      <c r="G9" s="21" t="n">
        <f aca="false">SUMPRODUCT((Transactions!$C$2:$C$65="Income")*ISNUMBER(SEARCH("freelance",Transactions!$B$2:$B$65))*Transactions!$F$2:$F$65)</f>
        <v>950</v>
      </c>
    </row>
    <row r="10" customFormat="false" ht="15" hidden="false" customHeight="false" outlineLevel="0" collapsed="false">
      <c r="F10" s="19" t="s">
        <v>107</v>
      </c>
      <c r="G10" s="21" t="n">
        <f aca="false">SUMPRODUCT((Transactions!$C$2:$C$65="Income")*ISNUMBER(SEARCH("interest",Transactions!$B$2:$B$65))*Transactions!$F$2:$F$65)</f>
        <v>30</v>
      </c>
    </row>
    <row r="11" customFormat="false" ht="15" hidden="false" customHeight="false" outlineLevel="0" collapsed="false">
      <c r="F11" s="19" t="s">
        <v>108</v>
      </c>
      <c r="G11" s="21" t="n">
        <f aca="false">SUMPRODUCT((Transactions!$C$2:$C$65="Income")*ISNUMBER(SEARCH("dividend",Transactions!$B$2:$B$65))*Transactions!$F$2:$F$65)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3"/>
    <col collapsed="false" customWidth="true" hidden="false" outlineLevel="0" max="6" min="6" style="0" width="18"/>
    <col collapsed="false" customWidth="true" hidden="false" outlineLevel="0" max="7" min="7" style="0" width="14"/>
  </cols>
  <sheetData>
    <row r="2" customFormat="false" ht="22.05" hidden="false" customHeight="false" outlineLevel="0" collapsed="false">
      <c r="B2" s="16" t="s">
        <v>109</v>
      </c>
    </row>
    <row r="3" customFormat="false" ht="15" hidden="false" customHeight="false" outlineLevel="0" collapsed="false">
      <c r="B3" s="17" t="s">
        <v>110</v>
      </c>
    </row>
    <row r="5" customFormat="false" ht="15" hidden="false" customHeight="false" outlineLevel="0" collapsed="false">
      <c r="B5" s="18" t="s">
        <v>111</v>
      </c>
      <c r="F5" s="18" t="s">
        <v>112</v>
      </c>
    </row>
    <row r="7" customFormat="false" ht="25.5" hidden="false" customHeight="true" outlineLevel="0" collapsed="false">
      <c r="B7" s="11" t="s">
        <v>99</v>
      </c>
      <c r="C7" s="11" t="s">
        <v>113</v>
      </c>
      <c r="F7" s="11" t="s">
        <v>26</v>
      </c>
      <c r="G7" s="11" t="s">
        <v>102</v>
      </c>
    </row>
    <row r="8" customFormat="false" ht="15" hidden="false" customHeight="false" outlineLevel="0" collapsed="false">
      <c r="B8" s="19" t="s">
        <v>103</v>
      </c>
      <c r="C8" s="20" t="n">
        <f aca="false">-SUMIFS(Transactions!$F$2:$F$65,Transactions!$C$2:$C$65,"Expense",Transactions!$A$2:$A$65,"&gt;="&amp;DATE(2026,1,1),Transactions!$A$2:$A$65,"&lt;="&amp;DATE(2026,1,31))</f>
        <v>3269.73</v>
      </c>
      <c r="F8" s="19" t="s">
        <v>35</v>
      </c>
      <c r="G8" s="21" t="n">
        <f aca="false">-SUMIFS(Transactions!$F$2:$F$65,Transactions!$D$2:$D$65,F8,Transactions!$C$2:$C$65,"Expense")</f>
        <v>7.25</v>
      </c>
    </row>
    <row r="9" customFormat="false" ht="15" hidden="false" customHeight="false" outlineLevel="0" collapsed="false">
      <c r="B9" s="19" t="s">
        <v>105</v>
      </c>
      <c r="C9" s="20" t="n">
        <f aca="false">-SUMIFS(Transactions!$F$2:$F$65,Transactions!$C$2:$C$65,"Expense",Transactions!$A$2:$A$65,"&gt;="&amp;DATE(2026,2,1),Transactions!$A$2:$A$65,"&lt;="&amp;DATE(2026,2,28))</f>
        <v>3072.18</v>
      </c>
      <c r="F9" s="19" t="s">
        <v>40</v>
      </c>
      <c r="G9" s="21" t="n">
        <f aca="false">-SUMIFS(Transactions!$F$2:$F$65,Transactions!$D$2:$D$65,F9,Transactions!$C$2:$C$65,"Expense")</f>
        <v>170.6</v>
      </c>
    </row>
    <row r="10" customFormat="false" ht="15" hidden="false" customHeight="false" outlineLevel="0" collapsed="false">
      <c r="F10" s="19" t="s">
        <v>59</v>
      </c>
      <c r="G10" s="21" t="n">
        <f aca="false">-SUMIFS(Transactions!$F$2:$F$65,Transactions!$D$2:$D$65,F10,Transactions!$C$2:$C$65,"Expense")</f>
        <v>100</v>
      </c>
    </row>
    <row r="11" customFormat="false" ht="15" hidden="false" customHeight="false" outlineLevel="0" collapsed="false">
      <c r="F11" s="19" t="s">
        <v>50</v>
      </c>
      <c r="G11" s="21" t="n">
        <f aca="false">-SUMIFS(Transactions!$F$2:$F$65,Transactions!$D$2:$D$65,F11,Transactions!$C$2:$C$65,"Expense")</f>
        <v>3600</v>
      </c>
    </row>
    <row r="12" customFormat="false" ht="15" hidden="false" customHeight="false" outlineLevel="0" collapsed="false">
      <c r="F12" s="19" t="s">
        <v>62</v>
      </c>
      <c r="G12" s="21" t="n">
        <f aca="false">-SUMIFS(Transactions!$F$2:$F$65,Transactions!$D$2:$D$65,F12,Transactions!$C$2:$C$65,"Expense")</f>
        <v>68.1</v>
      </c>
    </row>
    <row r="13" customFormat="false" ht="15" hidden="false" customHeight="false" outlineLevel="0" collapsed="false">
      <c r="F13" s="19" t="s">
        <v>56</v>
      </c>
      <c r="G13" s="21" t="n">
        <f aca="false">-SUMIFS(Transactions!$F$2:$F$65,Transactions!$D$2:$D$65,F13,Transactions!$C$2:$C$65,"Expense")</f>
        <v>54.96</v>
      </c>
    </row>
    <row r="14" customFormat="false" ht="15" hidden="false" customHeight="false" outlineLevel="0" collapsed="false">
      <c r="F14" s="19" t="s">
        <v>45</v>
      </c>
      <c r="G14" s="21" t="n">
        <f aca="false">-SUMIFS(Transactions!$F$2:$F$65,Transactions!$D$2:$D$65,F14,Transactions!$C$2:$C$65,"Expense")</f>
        <v>59.7</v>
      </c>
    </row>
    <row r="15" customFormat="false" ht="15" hidden="false" customHeight="false" outlineLevel="0" collapsed="false">
      <c r="F15" s="19" t="s">
        <v>65</v>
      </c>
      <c r="G15" s="21" t="n">
        <f aca="false">-SUMIFS(Transactions!$F$2:$F$65,Transactions!$D$2:$D$65,F15,Transactions!$C$2:$C$65,"Expense")</f>
        <v>-0</v>
      </c>
    </row>
    <row r="16" customFormat="false" ht="15" hidden="false" customHeight="false" outlineLevel="0" collapsed="false">
      <c r="F16" s="19" t="s">
        <v>53</v>
      </c>
      <c r="G16" s="21" t="n">
        <f aca="false">-SUMIFS(Transactions!$F$2:$F$65,Transactions!$D$2:$D$65,F16,Transactions!$C$2:$C$65,"Expense")</f>
        <v>81.3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6" min="5" style="0" width="14"/>
    <col collapsed="false" customWidth="true" hidden="false" outlineLevel="0" max="7" min="7" style="0" width="24"/>
  </cols>
  <sheetData>
    <row r="2" customFormat="false" ht="22.05" hidden="false" customHeight="false" outlineLevel="0" collapsed="false">
      <c r="B2" s="16" t="s">
        <v>114</v>
      </c>
    </row>
    <row r="4" customFormat="false" ht="25.5" hidden="false" customHeight="true" outlineLevel="0" collapsed="false">
      <c r="B4" s="11" t="s">
        <v>115</v>
      </c>
      <c r="C4" s="11" t="s">
        <v>116</v>
      </c>
      <c r="D4" s="11" t="s">
        <v>117</v>
      </c>
      <c r="E4" s="11" t="s">
        <v>118</v>
      </c>
      <c r="F4" s="11" t="s">
        <v>119</v>
      </c>
      <c r="G4" s="11" t="s">
        <v>120</v>
      </c>
    </row>
    <row r="5" customFormat="false" ht="15" hidden="false" customHeight="false" outlineLevel="0" collapsed="false">
      <c r="B5" s="19" t="s">
        <v>121</v>
      </c>
      <c r="C5" s="20" t="n">
        <v>15000</v>
      </c>
      <c r="D5" s="20" t="n">
        <v>9200</v>
      </c>
      <c r="E5" s="22" t="n">
        <f aca="false">D5/C5</f>
        <v>0.613333333333333</v>
      </c>
      <c r="F5" s="23" t="n">
        <v>46357</v>
      </c>
      <c r="G5" s="20" t="n">
        <f aca="true">IF(D5&gt;=C5,0,(C5-D5)/MAX(1,DATEDIF(TODAY(),F5,"m")))</f>
        <v>1450</v>
      </c>
    </row>
    <row r="6" customFormat="false" ht="15" hidden="false" customHeight="false" outlineLevel="0" collapsed="false">
      <c r="B6" s="19" t="s">
        <v>122</v>
      </c>
      <c r="C6" s="20" t="n">
        <v>4000</v>
      </c>
      <c r="D6" s="20" t="n">
        <v>1600</v>
      </c>
      <c r="E6" s="22" t="n">
        <f aca="false">D6/C6</f>
        <v>0.4</v>
      </c>
      <c r="F6" s="23" t="n">
        <v>46266</v>
      </c>
      <c r="G6" s="20" t="n">
        <f aca="true">IF(D6&gt;=C6,0,(C6-D6)/MAX(1,DATEDIF(TODAY(),F6,"m")))</f>
        <v>2400</v>
      </c>
    </row>
    <row r="7" customFormat="false" ht="15" hidden="false" customHeight="false" outlineLevel="0" collapsed="false">
      <c r="B7" s="19" t="s">
        <v>123</v>
      </c>
      <c r="C7" s="20" t="n">
        <v>2200</v>
      </c>
      <c r="D7" s="20" t="n">
        <v>2200</v>
      </c>
      <c r="E7" s="22" t="n">
        <f aca="false">D7/C7</f>
        <v>1</v>
      </c>
      <c r="F7" s="23" t="n">
        <v>46082</v>
      </c>
      <c r="G7" s="20" t="n">
        <f aca="true">IF(D7&gt;=C7,0,(C7-D7)/MAX(1,DATEDIF(TODAY(),F7,"m")))</f>
        <v>0</v>
      </c>
    </row>
    <row r="8" customFormat="false" ht="15" hidden="false" customHeight="false" outlineLevel="0" collapsed="false">
      <c r="B8" s="19" t="s">
        <v>124</v>
      </c>
      <c r="C8" s="20" t="n">
        <v>60000</v>
      </c>
      <c r="D8" s="20" t="n">
        <v>18500</v>
      </c>
      <c r="E8" s="22" t="n">
        <f aca="false">D8/C8</f>
        <v>0.308333333333333</v>
      </c>
      <c r="F8" s="23" t="n">
        <v>46905</v>
      </c>
      <c r="G8" s="20" t="n">
        <f aca="true">IF(D8&gt;=C8,0,(C8-D8)/MAX(1,DATEDIF(TODAY(),F8,"m")))</f>
        <v>1886.36363636364</v>
      </c>
    </row>
  </sheetData>
  <conditionalFormatting sqref="E5:E8">
    <cfRule type="dataBar" priority="2">
      <dataBar showValue="1" minLength="10" maxLength="90">
        <cfvo type="num" val="0"/>
        <cfvo type="num" val="1"/>
        <color rgb="FF3FA87C"/>
      </dataBar>
      <extLst>
        <ext xmlns:x14="http://schemas.microsoft.com/office/spreadsheetml/2009/9/main" uri="{B025F937-C7B1-47D3-B67F-A62EFF666E3E}">
          <x14:id>{AB5F2FB7-866C-4F80-82E2-32C8BDA1E39F}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5F2FB7-866C-4F80-82E2-32C8BDA1E39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3FA87C"/>
              <x14:axisColor rgb="FF000000"/>
            </x14:dataBar>
          </x14:cfRule>
          <xm:sqref>E5:E8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8" min="6" style="0" width="14"/>
  </cols>
  <sheetData>
    <row r="2" customFormat="false" ht="22.05" hidden="false" customHeight="false" outlineLevel="0" collapsed="false">
      <c r="B2" s="16" t="s">
        <v>125</v>
      </c>
    </row>
    <row r="4" customFormat="false" ht="25.5" hidden="false" customHeight="true" outlineLevel="0" collapsed="false">
      <c r="B4" s="11" t="s">
        <v>126</v>
      </c>
      <c r="C4" s="11" t="s">
        <v>74</v>
      </c>
      <c r="D4" s="11" t="s">
        <v>127</v>
      </c>
      <c r="E4" s="11" t="s">
        <v>128</v>
      </c>
      <c r="F4" s="11" t="s">
        <v>129</v>
      </c>
      <c r="G4" s="11" t="s">
        <v>130</v>
      </c>
      <c r="H4" s="11" t="s">
        <v>131</v>
      </c>
    </row>
    <row r="5" customFormat="false" ht="15" hidden="false" customHeight="false" outlineLevel="0" collapsed="false">
      <c r="B5" s="19" t="s">
        <v>132</v>
      </c>
      <c r="C5" s="19" t="s">
        <v>133</v>
      </c>
      <c r="D5" s="20" t="n">
        <v>12000</v>
      </c>
      <c r="E5" s="20" t="n">
        <v>13850</v>
      </c>
      <c r="F5" s="24" t="n">
        <f aca="false">E5-D5</f>
        <v>1850</v>
      </c>
      <c r="G5" s="25" t="n">
        <f aca="false">(E5-D5)/D5</f>
        <v>0.154166666666667</v>
      </c>
      <c r="H5" s="26" t="n">
        <f aca="false">E5/SUM($E$5:$E$9)</f>
        <v>0.270931142410016</v>
      </c>
    </row>
    <row r="6" customFormat="false" ht="15" hidden="false" customHeight="false" outlineLevel="0" collapsed="false">
      <c r="B6" s="19" t="s">
        <v>134</v>
      </c>
      <c r="C6" s="19" t="s">
        <v>133</v>
      </c>
      <c r="D6" s="20" t="n">
        <v>6000</v>
      </c>
      <c r="E6" s="20" t="n">
        <v>6120</v>
      </c>
      <c r="F6" s="24" t="n">
        <f aca="false">E6-D6</f>
        <v>120</v>
      </c>
      <c r="G6" s="25" t="n">
        <f aca="false">(E6-D6)/D6</f>
        <v>0.02</v>
      </c>
      <c r="H6" s="26" t="n">
        <f aca="false">E6/SUM($E$5:$E$9)</f>
        <v>0.119718309859155</v>
      </c>
    </row>
    <row r="7" customFormat="false" ht="15" hidden="false" customHeight="false" outlineLevel="0" collapsed="false">
      <c r="B7" s="19" t="s">
        <v>135</v>
      </c>
      <c r="C7" s="19" t="s">
        <v>136</v>
      </c>
      <c r="D7" s="20" t="n">
        <v>22000</v>
      </c>
      <c r="E7" s="20" t="n">
        <v>25400</v>
      </c>
      <c r="F7" s="24" t="n">
        <f aca="false">E7-D7</f>
        <v>3400</v>
      </c>
      <c r="G7" s="25" t="n">
        <f aca="false">(E7-D7)/D7</f>
        <v>0.154545454545455</v>
      </c>
      <c r="H7" s="26" t="n">
        <f aca="false">E7/SUM($E$5:$E$9)</f>
        <v>0.496870109546166</v>
      </c>
    </row>
    <row r="8" customFormat="false" ht="15" hidden="false" customHeight="false" outlineLevel="0" collapsed="false">
      <c r="B8" s="19" t="s">
        <v>137</v>
      </c>
      <c r="C8" s="19" t="s">
        <v>138</v>
      </c>
      <c r="D8" s="20" t="n">
        <v>4000</v>
      </c>
      <c r="E8" s="20" t="n">
        <v>3650</v>
      </c>
      <c r="F8" s="24" t="n">
        <f aca="false">E8-D8</f>
        <v>-350</v>
      </c>
      <c r="G8" s="25" t="n">
        <f aca="false">(E8-D8)/D8</f>
        <v>-0.0875</v>
      </c>
      <c r="H8" s="26" t="n">
        <f aca="false">E8/SUM($E$5:$E$9)</f>
        <v>0.0714006259780908</v>
      </c>
    </row>
    <row r="9" customFormat="false" ht="15" hidden="false" customHeight="false" outlineLevel="0" collapsed="false">
      <c r="B9" s="19" t="s">
        <v>139</v>
      </c>
      <c r="C9" s="19" t="s">
        <v>140</v>
      </c>
      <c r="D9" s="20" t="n">
        <v>1500</v>
      </c>
      <c r="E9" s="20" t="n">
        <v>2100</v>
      </c>
      <c r="F9" s="24" t="n">
        <f aca="false">E9-D9</f>
        <v>600</v>
      </c>
      <c r="G9" s="25" t="n">
        <f aca="false">(E9-D9)/D9</f>
        <v>0.4</v>
      </c>
      <c r="H9" s="26" t="n">
        <f aca="false">E9/SUM($E$5:$E$9)</f>
        <v>0.0410798122065728</v>
      </c>
    </row>
    <row r="11" customFormat="false" ht="15" hidden="false" customHeight="false" outlineLevel="0" collapsed="false">
      <c r="B11" s="27" t="s">
        <v>102</v>
      </c>
      <c r="D11" s="28" t="n">
        <f aca="false">SUM(D5:D9)</f>
        <v>45500</v>
      </c>
      <c r="E11" s="28" t="n">
        <f aca="false">SUM(E5:E9)</f>
        <v>51120</v>
      </c>
      <c r="F11" s="29" t="n">
        <f aca="false">E11-D11</f>
        <v>5620</v>
      </c>
      <c r="G11" s="30" t="n">
        <f aca="false">(E11-D11)/D11</f>
        <v>0.123516483516484</v>
      </c>
    </row>
  </sheetData>
  <conditionalFormatting sqref="F5:F9">
    <cfRule type="cellIs" priority="2" operator="lessThan" aboveAverage="0" equalAverage="0" bottom="0" percent="0" rank="0" text="" dxfId="2">
      <formula>0</formula>
    </cfRule>
    <cfRule type="cellIs" priority="3" operator="greaterThanOrEqual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7" min="6" style="0" width="14"/>
  </cols>
  <sheetData>
    <row r="2" customFormat="false" ht="22.05" hidden="false" customHeight="false" outlineLevel="0" collapsed="false">
      <c r="B2" s="16" t="s">
        <v>141</v>
      </c>
    </row>
    <row r="4" customFormat="false" ht="25.5" hidden="false" customHeight="true" outlineLevel="0" collapsed="false">
      <c r="B4" s="11" t="s">
        <v>142</v>
      </c>
      <c r="C4" s="11" t="s">
        <v>143</v>
      </c>
      <c r="D4" s="11" t="s">
        <v>144</v>
      </c>
      <c r="E4" s="11" t="s">
        <v>26</v>
      </c>
      <c r="F4" s="11" t="s">
        <v>145</v>
      </c>
      <c r="G4" s="11" t="s">
        <v>146</v>
      </c>
    </row>
    <row r="5" customFormat="false" ht="15" hidden="false" customHeight="false" outlineLevel="0" collapsed="false">
      <c r="B5" s="19" t="s">
        <v>147</v>
      </c>
      <c r="C5" s="31" t="n">
        <v>15.49</v>
      </c>
      <c r="D5" s="19" t="s">
        <v>148</v>
      </c>
      <c r="E5" s="19" t="s">
        <v>149</v>
      </c>
      <c r="F5" s="20" t="n">
        <f aca="false">C5*12</f>
        <v>185.88</v>
      </c>
      <c r="G5" s="19" t="s">
        <v>150</v>
      </c>
    </row>
    <row r="6" customFormat="false" ht="15" hidden="false" customHeight="false" outlineLevel="0" collapsed="false">
      <c r="B6" s="19" t="s">
        <v>151</v>
      </c>
      <c r="C6" s="31" t="n">
        <v>11.99</v>
      </c>
      <c r="D6" s="19" t="s">
        <v>148</v>
      </c>
      <c r="E6" s="19" t="s">
        <v>149</v>
      </c>
      <c r="F6" s="20" t="n">
        <f aca="false">C6*12</f>
        <v>143.88</v>
      </c>
      <c r="G6" s="19" t="s">
        <v>150</v>
      </c>
    </row>
    <row r="7" customFormat="false" ht="15" hidden="false" customHeight="false" outlineLevel="0" collapsed="false">
      <c r="B7" s="19" t="s">
        <v>152</v>
      </c>
      <c r="C7" s="31" t="n">
        <v>55</v>
      </c>
      <c r="D7" s="19" t="s">
        <v>148</v>
      </c>
      <c r="E7" s="19" t="s">
        <v>59</v>
      </c>
      <c r="F7" s="20" t="n">
        <f aca="false">C7*12</f>
        <v>660</v>
      </c>
      <c r="G7" s="19" t="s">
        <v>150</v>
      </c>
    </row>
    <row r="8" customFormat="false" ht="15" hidden="false" customHeight="false" outlineLevel="0" collapsed="false">
      <c r="B8" s="19" t="s">
        <v>153</v>
      </c>
      <c r="C8" s="31" t="n">
        <v>9.99</v>
      </c>
      <c r="D8" s="19" t="s">
        <v>148</v>
      </c>
      <c r="E8" s="19" t="s">
        <v>154</v>
      </c>
      <c r="F8" s="20" t="n">
        <f aca="false">C8*12</f>
        <v>119.88</v>
      </c>
      <c r="G8" s="19" t="s">
        <v>150</v>
      </c>
    </row>
    <row r="9" customFormat="false" ht="15" hidden="false" customHeight="false" outlineLevel="0" collapsed="false">
      <c r="B9" s="19" t="s">
        <v>155</v>
      </c>
      <c r="C9" s="31" t="n">
        <v>64</v>
      </c>
      <c r="D9" s="19" t="s">
        <v>148</v>
      </c>
      <c r="E9" s="19" t="s">
        <v>40</v>
      </c>
      <c r="F9" s="20" t="n">
        <f aca="false">C9*12</f>
        <v>768</v>
      </c>
      <c r="G9" s="19" t="s">
        <v>156</v>
      </c>
    </row>
    <row r="10" customFormat="false" ht="15" hidden="false" customHeight="false" outlineLevel="0" collapsed="false">
      <c r="B10" s="19" t="s">
        <v>157</v>
      </c>
      <c r="C10" s="31" t="n">
        <v>8</v>
      </c>
      <c r="D10" s="19" t="s">
        <v>148</v>
      </c>
      <c r="E10" s="19" t="s">
        <v>154</v>
      </c>
      <c r="F10" s="20" t="n">
        <f aca="false">C10*12</f>
        <v>96</v>
      </c>
      <c r="G10" s="19" t="s">
        <v>150</v>
      </c>
    </row>
    <row r="12" customFormat="false" ht="17.35" hidden="false" customHeight="false" outlineLevel="0" collapsed="false">
      <c r="B12" s="4" t="s">
        <v>158</v>
      </c>
      <c r="F12" s="32" t="n">
        <f aca="false">SUMIF(G5:G10,"Active",F5:F10)</f>
        <v>1205.64</v>
      </c>
    </row>
  </sheetData>
  <conditionalFormatting sqref="G5:G10">
    <cfRule type="expression" priority="2" aboveAverage="0" equalAverage="0" bottom="0" percent="0" rank="0" text="" dxfId="4">
      <formula>$G5="Active"</formula>
    </cfRule>
    <cfRule type="expression" priority="3" aboveAverage="0" equalAverage="0" bottom="0" percent="0" rank="0" text="" dxfId="5">
      <formula>$G5="Cancelled"</formula>
    </cfRule>
  </conditionalFormatting>
  <dataValidations count="1">
    <dataValidation allowBlank="true" errorStyle="stop" operator="between" showDropDown="false" showErrorMessage="false" showInputMessage="false" sqref="G5:G20" type="list">
      <formula1>"Active,Cancelled"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7" min="6" style="0" width="16"/>
  </cols>
  <sheetData>
    <row r="2" customFormat="false" ht="22.05" hidden="false" customHeight="false" outlineLevel="0" collapsed="false">
      <c r="B2" s="16" t="s">
        <v>159</v>
      </c>
    </row>
    <row r="3" customFormat="false" ht="15" hidden="false" customHeight="false" outlineLevel="0" collapsed="false">
      <c r="B3" s="17" t="s">
        <v>160</v>
      </c>
    </row>
    <row r="5" customFormat="false" ht="25.5" hidden="false" customHeight="true" outlineLevel="0" collapsed="false">
      <c r="B5" s="11" t="s">
        <v>99</v>
      </c>
      <c r="C5" s="11" t="s">
        <v>161</v>
      </c>
      <c r="D5" s="11" t="s">
        <v>162</v>
      </c>
      <c r="E5" s="11" t="s">
        <v>163</v>
      </c>
      <c r="F5" s="11" t="s">
        <v>164</v>
      </c>
      <c r="G5" s="11" t="s">
        <v>165</v>
      </c>
    </row>
    <row r="6" customFormat="false" ht="15" hidden="false" customHeight="false" outlineLevel="0" collapsed="false">
      <c r="B6" s="19" t="s">
        <v>103</v>
      </c>
      <c r="C6" s="20" t="n">
        <v>8600</v>
      </c>
      <c r="D6" s="20" t="n">
        <v>44800</v>
      </c>
      <c r="E6" s="20" t="n">
        <v>18000</v>
      </c>
      <c r="F6" s="20" t="n">
        <v>9200</v>
      </c>
      <c r="G6" s="20" t="n">
        <f aca="false">C6+D6+E6-F6</f>
        <v>62200</v>
      </c>
    </row>
    <row r="7" customFormat="false" ht="15" hidden="false" customHeight="false" outlineLevel="0" collapsed="false">
      <c r="B7" s="19" t="s">
        <v>105</v>
      </c>
      <c r="C7" s="20" t="n">
        <v>9200</v>
      </c>
      <c r="D7" s="20" t="n">
        <f aca="false">SUM('Investment Tracker'!$E$5:$E$9)</f>
        <v>51120</v>
      </c>
      <c r="E7" s="20" t="n">
        <v>18000</v>
      </c>
      <c r="F7" s="20" t="n">
        <v>8900</v>
      </c>
      <c r="G7" s="20" t="n">
        <f aca="false">C7+D7+E7-F7</f>
        <v>69420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2" style="0" width="14"/>
    <col collapsed="false" customWidth="true" hidden="false" outlineLevel="0" max="6" min="6" style="0" width="16"/>
  </cols>
  <sheetData>
    <row r="2" customFormat="false" ht="22.05" hidden="false" customHeight="false" outlineLevel="0" collapsed="false">
      <c r="B2" s="16" t="s">
        <v>166</v>
      </c>
    </row>
    <row r="4" customFormat="false" ht="25.5" hidden="false" customHeight="true" outlineLevel="0" collapsed="false">
      <c r="B4" s="11" t="s">
        <v>99</v>
      </c>
      <c r="C4" s="11" t="s">
        <v>28</v>
      </c>
      <c r="D4" s="11" t="s">
        <v>167</v>
      </c>
      <c r="E4" s="11" t="s">
        <v>168</v>
      </c>
      <c r="F4" s="11" t="s">
        <v>169</v>
      </c>
    </row>
    <row r="5" customFormat="false" ht="15" hidden="false" customHeight="false" outlineLevel="0" collapsed="false">
      <c r="B5" s="19" t="s">
        <v>103</v>
      </c>
      <c r="C5" s="20" t="n">
        <f aca="false">'Income Tracker'!C8</f>
        <v>5764.2</v>
      </c>
      <c r="D5" s="20" t="n">
        <f aca="false">'Expense Tracker'!C8</f>
        <v>3269.73</v>
      </c>
      <c r="E5" s="20" t="n">
        <f aca="false">C5-D5</f>
        <v>2494.47</v>
      </c>
      <c r="F5" s="26" t="n">
        <f aca="false">E5/C5</f>
        <v>0.432752159883418</v>
      </c>
    </row>
    <row r="6" customFormat="false" ht="15" hidden="false" customHeight="false" outlineLevel="0" collapsed="false">
      <c r="B6" s="19" t="s">
        <v>105</v>
      </c>
      <c r="C6" s="20" t="n">
        <f aca="false">'Income Tracker'!C9</f>
        <v>4815.8</v>
      </c>
      <c r="D6" s="20" t="n">
        <f aca="false">'Expense Tracker'!C9</f>
        <v>3072.18</v>
      </c>
      <c r="E6" s="20" t="n">
        <f aca="false">C6-D6</f>
        <v>1743.62</v>
      </c>
      <c r="F6" s="26" t="n">
        <f aca="false">E6/C6</f>
        <v>0.362062378005731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0"/>
    <col collapsed="false" customWidth="true" hidden="false" outlineLevel="0" max="5" min="3" style="0" width="14"/>
  </cols>
  <sheetData>
    <row r="2" customFormat="false" ht="22.05" hidden="false" customHeight="false" outlineLevel="0" collapsed="false">
      <c r="B2" s="16" t="s">
        <v>170</v>
      </c>
    </row>
    <row r="3" customFormat="false" ht="15" hidden="false" customHeight="false" outlineLevel="0" collapsed="false">
      <c r="B3" s="17" t="s">
        <v>171</v>
      </c>
    </row>
    <row r="5" customFormat="false" ht="25.5" hidden="false" customHeight="true" outlineLevel="0" collapsed="false">
      <c r="B5" s="11" t="s">
        <v>26</v>
      </c>
      <c r="C5" s="11" t="s">
        <v>103</v>
      </c>
      <c r="D5" s="11" t="s">
        <v>105</v>
      </c>
      <c r="E5" s="11" t="s">
        <v>172</v>
      </c>
    </row>
    <row r="6" customFormat="false" ht="15" hidden="false" customHeight="false" outlineLevel="0" collapsed="false">
      <c r="B6" s="19" t="s">
        <v>35</v>
      </c>
      <c r="C6" s="20" t="n">
        <f aca="false">-SUMIFS(Transactions!$F$2:$F$65,Transactions!$D$2:$D$65,$B6,Transactions!$C$2:$C$65,"Expense",Transactions!$A$2:$A$65,"&gt;="&amp;DATE(2026,1,1),Transactions!$A$2:$A$65,"&lt;="&amp;DATE(2026,1,31))</f>
        <v>7.25</v>
      </c>
      <c r="D6" s="20" t="n">
        <f aca="false">-SUMIFS(Transactions!$F$2:$F$65,Transactions!$D$2:$D$65,$B6,Transactions!$C$2:$C$65,"Expense",Transactions!$A$2:$A$65,"&gt;="&amp;DATE(2026,2,1),Transactions!$A$2:$A$65,"&lt;="&amp;DATE(2026,2,28))</f>
        <v>-0</v>
      </c>
      <c r="E6" s="24" t="n">
        <f aca="false">D6-C6</f>
        <v>-7.25</v>
      </c>
    </row>
    <row r="7" customFormat="false" ht="15" hidden="false" customHeight="false" outlineLevel="0" collapsed="false">
      <c r="B7" s="19" t="s">
        <v>40</v>
      </c>
      <c r="C7" s="20" t="n">
        <f aca="false">-SUMIFS(Transactions!$F$2:$F$65,Transactions!$D$2:$D$65,$B7,Transactions!$C$2:$C$65,"Expense",Transactions!$A$2:$A$65,"&gt;="&amp;DATE(2026,1,1),Transactions!$A$2:$A$65,"&lt;="&amp;DATE(2026,1,31))</f>
        <v>92.4</v>
      </c>
      <c r="D7" s="20" t="n">
        <f aca="false">-SUMIFS(Transactions!$F$2:$F$65,Transactions!$D$2:$D$65,$B7,Transactions!$C$2:$C$65,"Expense",Transactions!$A$2:$A$65,"&gt;="&amp;DATE(2026,2,1),Transactions!$A$2:$A$65,"&lt;="&amp;DATE(2026,2,28))</f>
        <v>78.2</v>
      </c>
      <c r="E7" s="24" t="n">
        <f aca="false">D7-C7</f>
        <v>-14.2</v>
      </c>
    </row>
    <row r="8" customFormat="false" ht="15" hidden="false" customHeight="false" outlineLevel="0" collapsed="false">
      <c r="B8" s="19" t="s">
        <v>59</v>
      </c>
      <c r="C8" s="20" t="n">
        <f aca="false">-SUMIFS(Transactions!$F$2:$F$65,Transactions!$D$2:$D$65,$B8,Transactions!$C$2:$C$65,"Expense",Transactions!$A$2:$A$65,"&gt;="&amp;DATE(2026,1,1),Transactions!$A$2:$A$65,"&lt;="&amp;DATE(2026,1,31))</f>
        <v>55</v>
      </c>
      <c r="D8" s="20" t="n">
        <f aca="false">-SUMIFS(Transactions!$F$2:$F$65,Transactions!$D$2:$D$65,$B8,Transactions!$C$2:$C$65,"Expense",Transactions!$A$2:$A$65,"&gt;="&amp;DATE(2026,2,1),Transactions!$A$2:$A$65,"&lt;="&amp;DATE(2026,2,28))</f>
        <v>45</v>
      </c>
      <c r="E8" s="24" t="n">
        <f aca="false">D8-C8</f>
        <v>-10</v>
      </c>
    </row>
    <row r="9" customFormat="false" ht="15" hidden="false" customHeight="false" outlineLevel="0" collapsed="false">
      <c r="B9" s="19" t="s">
        <v>50</v>
      </c>
      <c r="C9" s="20" t="n">
        <f aca="false">-SUMIFS(Transactions!$F$2:$F$65,Transactions!$D$2:$D$65,$B9,Transactions!$C$2:$C$65,"Expense",Transactions!$A$2:$A$65,"&gt;="&amp;DATE(2026,1,1),Transactions!$A$2:$A$65,"&lt;="&amp;DATE(2026,1,31))</f>
        <v>1800</v>
      </c>
      <c r="D9" s="20" t="n">
        <f aca="false">-SUMIFS(Transactions!$F$2:$F$65,Transactions!$D$2:$D$65,$B9,Transactions!$C$2:$C$65,"Expense",Transactions!$A$2:$A$65,"&gt;="&amp;DATE(2026,2,1),Transactions!$A$2:$A$65,"&lt;="&amp;DATE(2026,2,28))</f>
        <v>1800</v>
      </c>
      <c r="E9" s="24" t="n">
        <f aca="false">D9-C9</f>
        <v>0</v>
      </c>
    </row>
    <row r="10" customFormat="false" ht="15" hidden="false" customHeight="false" outlineLevel="0" collapsed="false">
      <c r="B10" s="19" t="s">
        <v>62</v>
      </c>
      <c r="C10" s="20" t="n">
        <f aca="false">-SUMIFS(Transactions!$F$2:$F$65,Transactions!$D$2:$D$65,$B10,Transactions!$C$2:$C$65,"Expense",Transactions!$A$2:$A$65,"&gt;="&amp;DATE(2026,1,1),Transactions!$A$2:$A$65,"&lt;="&amp;DATE(2026,1,31))</f>
        <v>68.1</v>
      </c>
      <c r="D10" s="20" t="n">
        <f aca="false">-SUMIFS(Transactions!$F$2:$F$65,Transactions!$D$2:$D$65,$B10,Transactions!$C$2:$C$65,"Expense",Transactions!$A$2:$A$65,"&gt;="&amp;DATE(2026,2,1),Transactions!$A$2:$A$65,"&lt;="&amp;DATE(2026,2,28))</f>
        <v>-0</v>
      </c>
      <c r="E10" s="24" t="n">
        <f aca="false">D10-C10</f>
        <v>-68.1</v>
      </c>
    </row>
    <row r="11" customFormat="false" ht="15" hidden="false" customHeight="false" outlineLevel="0" collapsed="false">
      <c r="B11" s="19" t="s">
        <v>56</v>
      </c>
      <c r="C11" s="20" t="n">
        <f aca="false">-SUMIFS(Transactions!$F$2:$F$65,Transactions!$D$2:$D$65,$B11,Transactions!$C$2:$C$65,"Expense",Transactions!$A$2:$A$65,"&gt;="&amp;DATE(2026,1,1),Transactions!$A$2:$A$65,"&lt;="&amp;DATE(2026,1,31))</f>
        <v>27.48</v>
      </c>
      <c r="D11" s="20" t="n">
        <f aca="false">-SUMIFS(Transactions!$F$2:$F$65,Transactions!$D$2:$D$65,$B11,Transactions!$C$2:$C$65,"Expense",Transactions!$A$2:$A$65,"&gt;="&amp;DATE(2026,2,1),Transactions!$A$2:$A$65,"&lt;="&amp;DATE(2026,2,28))</f>
        <v>27.48</v>
      </c>
      <c r="E11" s="24" t="n">
        <f aca="false">D11-C11</f>
        <v>0</v>
      </c>
    </row>
    <row r="12" customFormat="false" ht="15" hidden="false" customHeight="false" outlineLevel="0" collapsed="false">
      <c r="B12" s="19" t="s">
        <v>45</v>
      </c>
      <c r="C12" s="20" t="n">
        <f aca="false">-SUMIFS(Transactions!$F$2:$F$65,Transactions!$D$2:$D$65,$B12,Transactions!$C$2:$C$65,"Expense",Transactions!$A$2:$A$65,"&gt;="&amp;DATE(2026,1,1),Transactions!$A$2:$A$65,"&lt;="&amp;DATE(2026,1,31))</f>
        <v>38.2</v>
      </c>
      <c r="D12" s="20" t="n">
        <f aca="false">-SUMIFS(Transactions!$F$2:$F$65,Transactions!$D$2:$D$65,$B12,Transactions!$C$2:$C$65,"Expense",Transactions!$A$2:$A$65,"&gt;="&amp;DATE(2026,2,1),Transactions!$A$2:$A$65,"&lt;="&amp;DATE(2026,2,28))</f>
        <v>21.5</v>
      </c>
      <c r="E12" s="24" t="n">
        <f aca="false">D12-C12</f>
        <v>-16.7</v>
      </c>
    </row>
    <row r="13" customFormat="false" ht="15" hidden="false" customHeight="false" outlineLevel="0" collapsed="false">
      <c r="B13" s="19" t="s">
        <v>65</v>
      </c>
      <c r="C13" s="20" t="n">
        <f aca="false">-SUMIFS(Transactions!$F$2:$F$65,Transactions!$D$2:$D$65,$B13,Transactions!$C$2:$C$65,"Expense",Transactions!$A$2:$A$65,"&gt;="&amp;DATE(2026,1,1),Transactions!$A$2:$A$65,"&lt;="&amp;DATE(2026,1,31))</f>
        <v>-0</v>
      </c>
      <c r="D13" s="20" t="n">
        <f aca="false">-SUMIFS(Transactions!$F$2:$F$65,Transactions!$D$2:$D$65,$B13,Transactions!$C$2:$C$65,"Expense",Transactions!$A$2:$A$65,"&gt;="&amp;DATE(2026,2,1),Transactions!$A$2:$A$65,"&lt;="&amp;DATE(2026,2,28))</f>
        <v>-0</v>
      </c>
      <c r="E13" s="24" t="n">
        <f aca="false">D13-C13</f>
        <v>0</v>
      </c>
    </row>
    <row r="14" customFormat="false" ht="15" hidden="false" customHeight="false" outlineLevel="0" collapsed="false">
      <c r="B14" s="19" t="s">
        <v>53</v>
      </c>
      <c r="C14" s="20" t="n">
        <f aca="false">-SUMIFS(Transactions!$F$2:$F$65,Transactions!$D$2:$D$65,$B14,Transactions!$C$2:$C$65,"Expense",Transactions!$A$2:$A$65,"&gt;="&amp;DATE(2026,1,1),Transactions!$A$2:$A$65,"&lt;="&amp;DATE(2026,1,31))</f>
        <v>81.3</v>
      </c>
      <c r="D14" s="20" t="n">
        <f aca="false">-SUMIFS(Transactions!$F$2:$F$65,Transactions!$D$2:$D$65,$B14,Transactions!$C$2:$C$65,"Expense",Transactions!$A$2:$A$65,"&gt;="&amp;DATE(2026,2,1),Transactions!$A$2:$A$65,"&lt;="&amp;DATE(2026,2,28))</f>
        <v>-0</v>
      </c>
      <c r="E14" s="24" t="n">
        <f aca="false">D14-C14</f>
        <v>-81.3</v>
      </c>
    </row>
  </sheetData>
  <conditionalFormatting sqref="E6:E14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3"/>
  </cols>
  <sheetData>
    <row r="2" customFormat="false" ht="22.05" hidden="false" customHeight="false" outlineLevel="0" collapsed="false">
      <c r="B2" s="16" t="s">
        <v>173</v>
      </c>
    </row>
    <row r="3" customFormat="false" ht="15" hidden="false" customHeight="false" outlineLevel="0" collapsed="false">
      <c r="B3" s="17" t="s">
        <v>174</v>
      </c>
    </row>
    <row r="5" customFormat="false" ht="25.5" hidden="false" customHeight="true" outlineLevel="0" collapsed="false">
      <c r="B5" s="11" t="s">
        <v>175</v>
      </c>
      <c r="C5" s="11" t="s">
        <v>176</v>
      </c>
      <c r="D5" s="11" t="s">
        <v>177</v>
      </c>
    </row>
    <row r="6" customFormat="false" ht="33.75" hidden="false" customHeight="true" outlineLevel="0" collapsed="false">
      <c r="B6" s="33" t="s">
        <v>178</v>
      </c>
      <c r="C6" s="34" t="n">
        <f aca="false">MIN(100,('Monthly Trends'!F6/0.25)*100)</f>
        <v>100</v>
      </c>
      <c r="D6" s="35" t="s">
        <v>179</v>
      </c>
    </row>
    <row r="7" customFormat="false" ht="33.75" hidden="false" customHeight="true" outlineLevel="0" collapsed="false">
      <c r="B7" s="33" t="s">
        <v>180</v>
      </c>
      <c r="C7" s="34" t="n">
        <f aca="false">MIN(100,('Net Worth Dashboard'!C7/(3*'Expense Tracker'!C9))*100)</f>
        <v>99.8205400291216</v>
      </c>
      <c r="D7" s="35" t="s">
        <v>181</v>
      </c>
    </row>
    <row r="8" customFormat="false" ht="33.75" hidden="false" customHeight="true" outlineLevel="0" collapsed="false">
      <c r="B8" s="33" t="s">
        <v>182</v>
      </c>
      <c r="C8" s="34" t="n">
        <f aca="false">MAX(0,100-(('Subscription Tracker'!F12/12)/'Income Tracker'!C9)*500)</f>
        <v>89.5687113252211</v>
      </c>
      <c r="D8" s="35" t="s">
        <v>183</v>
      </c>
    </row>
    <row r="10" customFormat="false" ht="33.85" hidden="false" customHeight="false" outlineLevel="0" collapsed="false">
      <c r="B10" s="36" t="s">
        <v>184</v>
      </c>
      <c r="C10" s="37" t="n">
        <f aca="false">AVERAGE(C6:C8)</f>
        <v>96.4630837847809</v>
      </c>
    </row>
    <row r="11" customFormat="false" ht="16.15" hidden="false" customHeight="false" outlineLevel="0" collapsed="false">
      <c r="C11" s="38" t="str">
        <f aca="false">IF(C10&gt;=85,"Excellent",IF(C10&gt;=70,"Good",IF(C10&gt;=40,"Fair","Needs Attention")))</f>
        <v>Excellent</v>
      </c>
    </row>
  </sheetData>
  <conditionalFormatting sqref="C6:C8">
    <cfRule type="dataBar" priority="2">
      <dataBar showValue="1" minLength="10" maxLength="90">
        <cfvo type="num" val="0"/>
        <cfvo type="num" val="100"/>
        <color rgb="FFE8C46F"/>
      </dataBar>
      <extLst>
        <ext xmlns:x14="http://schemas.microsoft.com/office/spreadsheetml/2009/9/main" uri="{B025F937-C7B1-47D3-B67F-A62EFF666E3E}">
          <x14:id>{F8B35555-2E25-4721-8033-BE1F44701C52}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B35555-2E25-4721-8033-BE1F44701C52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E8C46F"/>
              <x14:axisColor rgb="FF000000"/>
            </x14:dataBar>
          </x14:cfRule>
          <xm:sqref>C6:C8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6" min="2" style="0" width="18"/>
    <col collapsed="false" customWidth="true" hidden="false" outlineLevel="0" max="8" min="7" style="0" width="3"/>
  </cols>
  <sheetData>
    <row r="2" customFormat="false" ht="26.8" hidden="false" customHeight="false" outlineLevel="0" collapsed="false">
      <c r="B2" s="39" t="s">
        <v>185</v>
      </c>
      <c r="C2" s="39"/>
      <c r="D2" s="39"/>
      <c r="E2" s="39"/>
      <c r="F2" s="39"/>
    </row>
    <row r="3" customFormat="false" ht="15" hidden="false" customHeight="false" outlineLevel="0" collapsed="false">
      <c r="B3" s="40" t="s">
        <v>186</v>
      </c>
      <c r="C3" s="40"/>
      <c r="D3" s="40"/>
      <c r="E3" s="40"/>
      <c r="F3" s="40"/>
    </row>
    <row r="5" customFormat="false" ht="27.75" hidden="false" customHeight="true" outlineLevel="0" collapsed="false">
      <c r="B5" s="41" t="s">
        <v>187</v>
      </c>
      <c r="C5" s="41" t="s">
        <v>188</v>
      </c>
      <c r="D5" s="41" t="s">
        <v>189</v>
      </c>
      <c r="E5" s="41" t="s">
        <v>190</v>
      </c>
      <c r="F5" s="41" t="s">
        <v>191</v>
      </c>
    </row>
    <row r="6" customFormat="false" ht="30" hidden="false" customHeight="true" outlineLevel="0" collapsed="false">
      <c r="B6" s="42" t="n">
        <f aca="false">SUM('Income Tracker'!C8:C9)</f>
        <v>10580</v>
      </c>
      <c r="C6" s="43" t="n">
        <f aca="false">SUM('Expense Tracker'!C8:C9)</f>
        <v>6341.91</v>
      </c>
      <c r="D6" s="42" t="n">
        <f aca="false">B6-C6</f>
        <v>4238.09</v>
      </c>
      <c r="E6" s="44" t="n">
        <f aca="false">'Net Worth Dashboard'!G7</f>
        <v>69420</v>
      </c>
      <c r="F6" s="45" t="n">
        <f aca="false">'Financial Health Score'!C10</f>
        <v>96.4630837847809</v>
      </c>
    </row>
    <row r="25" customFormat="false" ht="16.15" hidden="false" customHeight="false" outlineLevel="0" collapsed="false">
      <c r="B25" s="9" t="s">
        <v>192</v>
      </c>
    </row>
    <row r="27" customFormat="false" ht="25.5" hidden="false" customHeight="true" outlineLevel="0" collapsed="false">
      <c r="B27" s="11" t="s">
        <v>26</v>
      </c>
      <c r="C27" s="11" t="s">
        <v>76</v>
      </c>
    </row>
    <row r="28" customFormat="false" ht="15" hidden="false" customHeight="false" outlineLevel="0" collapsed="false">
      <c r="B28" s="19" t="str">
        <f aca="false">INDEX('Spending Breakdown'!$B$6:$B$14,MATCH(LARGE('Spending Breakdown'!$D$6:$D$14,1),'Spending Breakdown'!$D$6:$D$14,0))</f>
        <v>Housing</v>
      </c>
      <c r="C28" s="20" t="n">
        <f aca="false">LARGE('Spending Breakdown'!$D$6:$D$14,1)</f>
        <v>1800</v>
      </c>
    </row>
    <row r="29" customFormat="false" ht="15" hidden="false" customHeight="false" outlineLevel="0" collapsed="false">
      <c r="B29" s="19" t="str">
        <f aca="false">INDEX('Spending Breakdown'!$B$6:$B$14,MATCH(LARGE('Spending Breakdown'!$D$6:$D$14,2),'Spending Breakdown'!$D$6:$D$14,0))</f>
        <v>Groceries</v>
      </c>
      <c r="C29" s="20" t="n">
        <f aca="false">LARGE('Spending Breakdown'!$D$6:$D$14,2)</f>
        <v>78.2</v>
      </c>
    </row>
    <row r="30" customFormat="false" ht="15" hidden="false" customHeight="false" outlineLevel="0" collapsed="false">
      <c r="B30" s="19" t="str">
        <f aca="false">INDEX('Spending Breakdown'!$B$6:$B$14,MATCH(LARGE('Spending Breakdown'!$D$6:$D$14,3),'Spending Breakdown'!$D$6:$D$14,0))</f>
        <v>Health &amp; Fitness</v>
      </c>
      <c r="C30" s="20" t="n">
        <f aca="false">LARGE('Spending Breakdown'!$D$6:$D$14,3)</f>
        <v>45</v>
      </c>
    </row>
    <row r="31" customFormat="false" ht="15" hidden="false" customHeight="false" outlineLevel="0" collapsed="false">
      <c r="B31" s="19" t="str">
        <f aca="false">INDEX('Spending Breakdown'!$B$6:$B$14,MATCH(LARGE('Spending Breakdown'!$D$6:$D$14,4),'Spending Breakdown'!$D$6:$D$14,0))</f>
        <v>Subscriptions</v>
      </c>
      <c r="C31" s="20" t="n">
        <f aca="false">LARGE('Spending Breakdown'!$D$6:$D$14,4)</f>
        <v>27.48</v>
      </c>
    </row>
    <row r="32" customFormat="false" ht="15" hidden="false" customHeight="false" outlineLevel="0" collapsed="false">
      <c r="B32" s="19" t="str">
        <f aca="false">INDEX('Spending Breakdown'!$B$6:$B$14,MATCH(LARGE('Spending Breakdown'!$D$6:$D$14,5),'Spending Breakdown'!$D$6:$D$14,0))</f>
        <v>Transport</v>
      </c>
      <c r="C32" s="20" t="n">
        <f aca="false">LARGE('Spending Breakdown'!$D$6:$D$14,5)</f>
        <v>21.5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2026-07-10T07:45:21Z</dcterms:created>
  <dc:creator>openpyxl</dc:creator>
  <dc:description/>
  <dc:language>en-US</dc:language>
  <cp:lastModifiedBy/>
  <dcterms:modified xsi:type="dcterms:W3CDTF">2026-07-10T13:30:22Z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