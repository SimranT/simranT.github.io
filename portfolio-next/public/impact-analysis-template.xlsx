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ead Me" sheetId="2" state="visible" r:id="rId4"/>
    <sheet name="Project Details" sheetId="3" state="visible" r:id="rId5"/>
    <sheet name="Release Timeline" sheetId="4" state="visible" r:id="rId6"/>
    <sheet name="KPI Tracking" sheetId="5" state="visible" r:id="rId7"/>
    <sheet name="Before vs After" sheetId="6" state="visible" r:id="rId8"/>
    <sheet name="Weekly Trends" sheetId="7" state="visible" r:id="rId9"/>
    <sheet name="Insights" sheetId="8" state="visible" r:id="rId10"/>
    <sheet name="Risks" sheetId="9" state="visible" r:id="rId11"/>
    <sheet name="Recommendations" sheetId="10" state="visible" r:id="rId12"/>
    <sheet name="Executive Summary" sheetId="11" state="visible" r:id="rId13"/>
    <sheet name="AI Prompt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<sst xmlns="http://schemas.openxmlformats.org/spreadsheetml/2006/main" count="184" uniqueCount="145">
  <si>
    <t xml:space="preserve">SIMRAN'S SPACE  ·  TEMPLATES</t>
  </si>
  <si>
    <t xml:space="preserve">Impact Analysis Template</t>
  </si>
  <si>
    <t xml:space="preserve">A reusable framework for analyzing product launches, experiments, and feature releases — from hypothesis to executive summary, with AI-ready export prompts.</t>
  </si>
  <si>
    <t xml:space="preserve">WHAT'S INSIDE</t>
  </si>
  <si>
    <t xml:space="preserve">◆</t>
  </si>
  <si>
    <t xml:space="preserve">Project Details — hypothesis, owner, and success metrics in one place</t>
  </si>
  <si>
    <t xml:space="preserve">Release Timeline — phase-by-phase status with color-coded tracking</t>
  </si>
  <si>
    <t xml:space="preserve">KPI Tracking + Before vs. After Comparison, both formula-driven</t>
  </si>
  <si>
    <t xml:space="preserve">Weekly Trends chart, Insights, Risks, and Recommendations logs</t>
  </si>
  <si>
    <t xml:space="preserve">Executive Summary that pulls its numbers live from your data</t>
  </si>
  <si>
    <t xml:space="preserve">An AI Prompts tab — copy-ready prompts for ChatGPT or Claude</t>
  </si>
  <si>
    <t xml:space="preserve">WHO IT'S FOR</t>
  </si>
  <si>
    <t xml:space="preserve">Built for both technical and non-technical users — product managers writing the executive summary, and analysts filling in the KPI tracking, working from the same file.</t>
  </si>
  <si>
    <t xml:space="preserve">Built by Simran Tiwari  —  simrant.github.io</t>
  </si>
  <si>
    <t xml:space="preserve">How to use this template</t>
  </si>
  <si>
    <t xml:space="preserve">1. Start with Project Details</t>
  </si>
  <si>
    <t xml:space="preserve">Fill in the hypothesis and success metrics before you launch — deciding what "success" looks like after the fact is how good analyses turn into bad ones.</t>
  </si>
  <si>
    <t xml:space="preserve">2. Track the Release Timeline</t>
  </si>
  <si>
    <t xml:space="preserve">One row per phase. The Status dropdown color-codes itself, so a glance at the tab tells you where things stand.</t>
  </si>
  <si>
    <t xml:space="preserve">3. Log KPI Tracking weekly</t>
  </si>
  <si>
    <t xml:space="preserve">Same metrics every week, same units. The Before vs. After Comparison and Weekly Trends chart both pull from this tab automatically.</t>
  </si>
  <si>
    <t xml:space="preserve">4. Fill Insights, Risks, and Recommendations as you go</t>
  </si>
  <si>
    <t xml:space="preserve">Don't wait until the end — the best insights get lost if you wait for the retro to write them down.</t>
  </si>
  <si>
    <t xml:space="preserve">5. Executive Summary writes most of itself</t>
  </si>
  <si>
    <t xml:space="preserve">Every number on it is a formula pulling from KPI Tracking and Before vs. After. You only need to fill in the two verdict cells at the bottom.</t>
  </si>
  <si>
    <t xml:space="preserve">6. Use the AI Prompts tab when you export</t>
  </si>
  <si>
    <t xml:space="preserve">Copy your KPI Tracking or Before vs. After table into ChatGPT or Claude alongside the matching prompt — they're written to ask for exactly the kind of analysis this template is built around.</t>
  </si>
  <si>
    <t xml:space="preserve">Why this one's different</t>
  </si>
  <si>
    <t xml:space="preserve">Most impact-analysis templates are either a blank table or a rigid dashboard that only works for one kind of launch. This one separates the raw log (KPI Tracking, Risks, Insights) from the synthesis (Executive Summary) so it works the same way whether you're analyzing an A/B test, a feature release, or a full product launch — and the AI Prompts tab means the handoff to a stakeholder-ready writeup takes minutes, not another meeting.</t>
  </si>
  <si>
    <t xml:space="preserve">Project Details</t>
  </si>
  <si>
    <t xml:space="preserve">Project name</t>
  </si>
  <si>
    <t xml:space="preserve">New checkout flow experiment</t>
  </si>
  <si>
    <t xml:space="preserve">Owner</t>
  </si>
  <si>
    <t xml:space="preserve">Launch date</t>
  </si>
  <si>
    <t xml:space="preserve">Analysis date</t>
  </si>
  <si>
    <t xml:space="preserve">Hypothesis</t>
  </si>
  <si>
    <t xml:space="preserve">Reducing checkout from 4 steps to 2 will increase conversion rate without increasing cart abandonment.</t>
  </si>
  <si>
    <t xml:space="preserve">Success metrics</t>
  </si>
  <si>
    <t xml:space="preserve">Conversion Rate, Cart Abandonment Rate, Revenue per Visitor</t>
  </si>
  <si>
    <t xml:space="preserve">Stakeholders</t>
  </si>
  <si>
    <t xml:space="preserve">Product, Engineering, Growth</t>
  </si>
  <si>
    <t xml:space="preserve">Status</t>
  </si>
  <si>
    <t xml:space="preserve">In Progress</t>
  </si>
  <si>
    <t xml:space="preserve">Release Timeline</t>
  </si>
  <si>
    <t xml:space="preserve">Phase</t>
  </si>
  <si>
    <t xml:space="preserve">Start Date</t>
  </si>
  <si>
    <t xml:space="preserve">End Date</t>
  </si>
  <si>
    <t xml:space="preserve">Duration (days)</t>
  </si>
  <si>
    <t xml:space="preserve">Discovery &amp; hypothesis</t>
  </si>
  <si>
    <t xml:space="preserve">Priya</t>
  </si>
  <si>
    <t xml:space="preserve">Complete</t>
  </si>
  <si>
    <t xml:space="preserve">Design &amp; prototyping</t>
  </si>
  <si>
    <t xml:space="preserve">Diego</t>
  </si>
  <si>
    <t xml:space="preserve">Build</t>
  </si>
  <si>
    <t xml:space="preserve">Engineering</t>
  </si>
  <si>
    <t xml:space="preserve">Launch (10% rollout)</t>
  </si>
  <si>
    <t xml:space="preserve">Growth</t>
  </si>
  <si>
    <t xml:space="preserve">Full rollout</t>
  </si>
  <si>
    <t xml:space="preserve">Post-launch analysis</t>
  </si>
  <si>
    <t xml:space="preserve">Analyst</t>
  </si>
  <si>
    <t xml:space="preserve">Not Started</t>
  </si>
  <si>
    <t xml:space="preserve">KPI Tracking</t>
  </si>
  <si>
    <t xml:space="preserve">Metric</t>
  </si>
  <si>
    <t xml:space="preserve">Target</t>
  </si>
  <si>
    <t xml:space="preserve">Week 1</t>
  </si>
  <si>
    <t xml:space="preserve">Week 2</t>
  </si>
  <si>
    <t xml:space="preserve">Week 3</t>
  </si>
  <si>
    <t xml:space="preserve">Week 4</t>
  </si>
  <si>
    <t xml:space="preserve">% vs Target</t>
  </si>
  <si>
    <t xml:space="preserve">Conversion Rate (%)</t>
  </si>
  <si>
    <t xml:space="preserve">Cart Abandonment (%)</t>
  </si>
  <si>
    <t xml:space="preserve">Revenue per Visitor ($)</t>
  </si>
  <si>
    <t xml:space="preserve">Daily Active Users</t>
  </si>
  <si>
    <t xml:space="preserve">Support Tickets (checkout)</t>
  </si>
  <si>
    <t xml:space="preserve">Before vs. After Comparison</t>
  </si>
  <si>
    <t xml:space="preserve">Before</t>
  </si>
  <si>
    <t xml:space="preserve">After</t>
  </si>
  <si>
    <t xml:space="preserve">% Change</t>
  </si>
  <si>
    <t xml:space="preserve">Notes</t>
  </si>
  <si>
    <t xml:space="preserve">Hypothesis confirmed — fewer steps converted more visitors.</t>
  </si>
  <si>
    <t xml:space="preserve">Slightly worse than hoped; watch closely during full rollout.</t>
  </si>
  <si>
    <t xml:space="preserve">Strong lift, driven by the conversion rate gain.</t>
  </si>
  <si>
    <t xml:space="preserve">Grew in line with normal traffic trends, not launch-driven.</t>
  </si>
  <si>
    <t xml:space="preserve">Spike during rollout week, tapering off as UI settled.</t>
  </si>
  <si>
    <t xml:space="preserve">Weekly Trends</t>
  </si>
  <si>
    <t xml:space="preserve">Charted straight from KPI Tracking — update that tab and this redraws itself.</t>
  </si>
  <si>
    <t xml:space="preserve">Normalized index (Week 1 = 100)</t>
  </si>
  <si>
    <t xml:space="preserve">Insights</t>
  </si>
  <si>
    <t xml:space="preserve">Insight</t>
  </si>
  <si>
    <t xml:space="preserve">Evidence</t>
  </si>
  <si>
    <t xml:space="preserve">Impact</t>
  </si>
  <si>
    <t xml:space="preserve">Shorter checkout converts better, but only after the second week</t>
  </si>
  <si>
    <t xml:space="preserve">Conversion rate dipped in Week 1 (3.8%) before climbing past baseline by Week 4 (4.7%) — users needed to get used to the new flow</t>
  </si>
  <si>
    <t xml:space="preserve">High</t>
  </si>
  <si>
    <t xml:space="preserve">Support tickets spiked during rollout, not after</t>
  </si>
  <si>
    <t xml:space="preserve">Tickets peaked at 58 in Week 1 and fell every week after — a rollout communication issue, not a lasting product problem</t>
  </si>
  <si>
    <t xml:space="preserve">Medium</t>
  </si>
  <si>
    <t xml:space="preserve">Cart abandonment improvement is smaller than the conversion gain</t>
  </si>
  <si>
    <t xml:space="preserve">Abandonment only fell from 68% to 61%, while conversion rose 24% relative — the two metrics aren't moving in lockstep</t>
  </si>
  <si>
    <t xml:space="preserve">Risks</t>
  </si>
  <si>
    <t xml:space="preserve">Risk</t>
  </si>
  <si>
    <t xml:space="preserve">Likelihood</t>
  </si>
  <si>
    <t xml:space="preserve">Risk Score</t>
  </si>
  <si>
    <t xml:space="preserve">Mitigation</t>
  </si>
  <si>
    <t xml:space="preserve">Full rollout repeats the Week 1 support spike</t>
  </si>
  <si>
    <t xml:space="preserve">Pre-write a support macro and give the team a heads-up before rollout expands</t>
  </si>
  <si>
    <t xml:space="preserve">Conversion gain doesn't hold once novelty wears off</t>
  </si>
  <si>
    <t xml:space="preserve">Low</t>
  </si>
  <si>
    <t xml:space="preserve">Re-measure at the 60-day mark, not just 30</t>
  </si>
  <si>
    <t xml:space="preserve">Abandonment stays flat while conversion keeps rising</t>
  </si>
  <si>
    <t xml:space="preserve">Watch for users converting on lower-intent visits — check downstream refund rate</t>
  </si>
  <si>
    <t xml:space="preserve">Recommendations</t>
  </si>
  <si>
    <t xml:space="preserve">Recommendation</t>
  </si>
  <si>
    <t xml:space="preserve">Priority</t>
  </si>
  <si>
    <t xml:space="preserve">Proceed to 100% rollout</t>
  </si>
  <si>
    <t xml:space="preserve">Add a support macro before expanding rollout</t>
  </si>
  <si>
    <t xml:space="preserve">Support Lead</t>
  </si>
  <si>
    <t xml:space="preserve">Re-measure conversion at 60 days, not just 30</t>
  </si>
  <si>
    <t xml:space="preserve">Investigate why abandonment isn't falling as fast as conversion is rising</t>
  </si>
  <si>
    <t xml:space="preserve">Executive Summary</t>
  </si>
  <si>
    <t xml:space="preserve">Conversion Rate</t>
  </si>
  <si>
    <t xml:space="preserve">Cart Abandonment</t>
  </si>
  <si>
    <t xml:space="preserve">Revenue / Visitor</t>
  </si>
  <si>
    <t xml:space="preserve">Top insight</t>
  </si>
  <si>
    <t xml:space="preserve">Top risk</t>
  </si>
  <si>
    <t xml:space="preserve">Top recommendation</t>
  </si>
  <si>
    <t xml:space="preserve">Overall verdict (fill in)</t>
  </si>
  <si>
    <t xml:space="preserve">Ship it. The conversion gain outweighs the modest abandonment improvement, and the support spike was a rollout-communication issue, not a product flaw.</t>
  </si>
  <si>
    <t xml:space="preserve">AI Prompts</t>
  </si>
  <si>
    <t xml:space="preserve">Export the tab mentioned, paste it into ChatGPT or Claude above the prompt, and send both together.</t>
  </si>
  <si>
    <t xml:space="preserve">Summarize the impact</t>
  </si>
  <si>
    <t xml:space="preserve">Export: KPI Tracking + Before vs After</t>
  </si>
  <si>
    <t xml:space="preserve">Paste your KPI Tracking and Before vs After tables above this prompt. Summarize the impact of this launch in 3 bullet points a busy exec would actually read, using the real numbers, not vague language like "significant improvement."</t>
  </si>
  <si>
    <t xml:space="preserve">Find risks I might be missing</t>
  </si>
  <si>
    <t xml:space="preserve">Export: KPI Tracking + Insights</t>
  </si>
  <si>
    <t xml:space="preserve">Paste your KPI Tracking and Insights tables above this prompt. Based on these trends, what risks or failure modes should I be watching for in the next 30 days that aren't already on my Risks tab? Be specific about which metric would move first as an early warning sign.</t>
  </si>
  <si>
    <t xml:space="preserve">Draft executive summary bullets</t>
  </si>
  <si>
    <t xml:space="preserve">Export: Before vs After + Insights</t>
  </si>
  <si>
    <t xml:space="preserve">Paste your Before vs After and Insights tables above this prompt. Write 4 executive summary bullets for a non-technical stakeholder audience, in plain language, leading with the business impact rather than the metric names.</t>
  </si>
  <si>
    <t xml:space="preserve">Suggest follow-up experiments</t>
  </si>
  <si>
    <t xml:space="preserve">Export: Before vs After</t>
  </si>
  <si>
    <t xml:space="preserve">Paste your Before vs After table above this prompt. Given these results, suggest 2-3 specific follow-up experiments that would either strengthen confidence in this result or test the next logical improvement.</t>
  </si>
  <si>
    <t xml:space="preserve">Explain a metric decline</t>
  </si>
  <si>
    <t xml:space="preserve">Export: KPI Tracking (single metric)</t>
  </si>
  <si>
    <t xml:space="preserve">Paste one row of weekly data for a metric that declined above this prompt. Give me 3 plausible explanations for this decline, ranked by likelihood, and what data I'd need to check to confirm or rule out each one.</t>
  </si>
</sst>
</file>

<file path=xl/styles.xml><?xml version="1.0" encoding="utf-8"?>
<styleSheet xmlns="http://schemas.openxmlformats.org/spreadsheetml/2006/main">
  <numFmts count="8">
    <numFmt numFmtId="164" formatCode="General"/>
    <numFmt numFmtId="165" formatCode="yyyy\-mm\-dd"/>
    <numFmt numFmtId="166" formatCode="mm/dd/yyyy"/>
    <numFmt numFmtId="167" formatCode="0.0"/>
    <numFmt numFmtId="168" formatCode="\+0.0%;\-0.0%"/>
    <numFmt numFmtId="169" formatCode="0"/>
    <numFmt numFmtId="170" formatCode="\$0.00"/>
    <numFmt numFmtId="171" formatCode="#,##0"/>
  </numFmts>
  <fonts count="29">
    <font>
      <sz val="11"/>
      <color theme="1"/>
      <name val="Calibri"/>
      <family val="2"/>
      <charset val="1"/>
    </font>
    <font>
      <sz val="10"/>
      <name val="Arial"/>
      <family val="0"/>
    </font>
    <font>
      <sz val="10"/>
      <name val="Arial"/>
      <family val="0"/>
    </font>
    <font>
      <sz val="10"/>
      <name val="Arial"/>
      <family val="0"/>
    </font>
    <font>
      <b val="true"/>
      <sz val="11"/>
      <color rgb="FFB8934A"/>
      <name val="Calibri"/>
      <family val="0"/>
      <charset val="1"/>
    </font>
    <font>
      <b val="true"/>
      <sz val="30"/>
      <color rgb="FF1A1A1A"/>
      <name val="Calibri"/>
      <family val="0"/>
      <charset val="1"/>
    </font>
    <font>
      <sz val="12"/>
      <color rgb="FF4A4A4A"/>
      <name val="Calibri"/>
      <family val="0"/>
      <charset val="1"/>
    </font>
    <font>
      <sz val="10"/>
      <color rgb="FF3FA87C"/>
      <name val="Calibri"/>
      <family val="0"/>
      <charset val="1"/>
    </font>
    <font>
      <sz val="11"/>
      <color rgb="FF2A2A2A"/>
      <name val="Calibri"/>
      <family val="0"/>
      <charset val="1"/>
    </font>
    <font>
      <sz val="10.5"/>
      <color rgb="FF4A4A4A"/>
      <name val="Calibri"/>
      <family val="0"/>
      <charset val="1"/>
    </font>
    <font>
      <i val="true"/>
      <sz val="10"/>
      <color rgb="FF8A8A8A"/>
      <name val="Calibri"/>
      <family val="0"/>
      <charset val="1"/>
    </font>
    <font>
      <b val="true"/>
      <sz val="20"/>
      <color rgb="FF1A1A1A"/>
      <name val="Calibri"/>
      <family val="0"/>
      <charset val="1"/>
    </font>
    <font>
      <b val="true"/>
      <sz val="13"/>
      <color rgb="FFB8934A"/>
      <name val="Calibri"/>
      <family val="0"/>
      <charset val="1"/>
    </font>
    <font>
      <sz val="11"/>
      <color rgb="FF333333"/>
      <name val="Calibri"/>
      <family val="0"/>
      <charset val="1"/>
    </font>
    <font>
      <b val="true"/>
      <sz val="18"/>
      <color rgb="FF1A1A1A"/>
      <name val="Calibri"/>
      <family val="0"/>
      <charset val="1"/>
    </font>
    <font>
      <b val="true"/>
      <sz val="10.5"/>
      <color rgb="FF6B6B6B"/>
      <name val="Calibri"/>
      <family val="0"/>
      <charset val="1"/>
    </font>
    <font>
      <sz val="11"/>
      <color rgb="FF1A1A1A"/>
      <name val="Calibri"/>
      <family val="0"/>
      <charset val="1"/>
    </font>
    <font>
      <b val="true"/>
      <sz val="10.5"/>
      <color rgb="FFFFFFFF"/>
      <name val="Calibri"/>
      <family val="0"/>
      <charset val="1"/>
    </font>
    <font>
      <sz val="10"/>
      <color rgb="FF1A1A1A"/>
      <name val="Calibri"/>
      <family val="0"/>
      <charset val="1"/>
    </font>
    <font>
      <sz val="10.5"/>
      <color rgb="FF6B6B6B"/>
      <name val="Calibri"/>
      <family val="0"/>
      <charset val="1"/>
    </font>
    <font>
      <b val="true"/>
      <sz val="10"/>
      <color rgb="FFFFFFFF"/>
      <name val="Calibri"/>
      <family val="0"/>
      <charset val="1"/>
    </font>
    <font>
      <b val="true"/>
      <sz val="18"/>
      <color rgb="FF000000"/>
      <name val="Calibri"/>
      <family val="2"/>
    </font>
    <font>
      <sz val="10"/>
      <color rgb="FF000000"/>
      <name val="Calibri"/>
      <family val="2"/>
    </font>
    <font>
      <b val="true"/>
      <sz val="22"/>
      <color rgb="FF1A1A1A"/>
      <name val="Calibri"/>
      <family val="0"/>
      <charset val="1"/>
    </font>
    <font>
      <i val="true"/>
      <sz val="11"/>
      <color rgb="FF6B6B6B"/>
      <name val="Calibri"/>
      <family val="0"/>
      <charset val="1"/>
    </font>
    <font>
      <b val="true"/>
      <sz val="9.5"/>
      <color rgb="FFFFFFFF"/>
      <name val="Calibri"/>
      <family val="0"/>
      <charset val="1"/>
    </font>
    <font>
      <b val="true"/>
      <sz val="18"/>
      <color rgb="FF3FA87C"/>
      <name val="Calibri"/>
      <family val="0"/>
      <charset val="1"/>
    </font>
    <font>
      <i val="true"/>
      <sz val="9.5"/>
      <color rgb="FF6B6B6B"/>
      <name val="Calibri"/>
      <family val="0"/>
      <charset val="1"/>
    </font>
    <font>
      <sz val="10.5"/>
      <color rgb="FF1A1A1A"/>
      <name val="Calibri"/>
      <family val="0"/>
      <charset val="1"/>
    </font>
  </fonts>
  <fills count="4">
    <fill>
      <patternFill patternType="none"/>
    </fill>
    <fill>
      <patternFill patternType="gray125"/>
    </fill>
    <fill>
      <patternFill patternType="solid">
        <fgColor rgb="FFF7F5EF"/>
        <bgColor rgb="FFFFFFFF"/>
      </patternFill>
    </fill>
    <fill>
      <patternFill patternType="solid">
        <fgColor rgb="FFB8934A"/>
        <bgColor rgb="FFCC8F8E"/>
      </patternFill>
    </fill>
  </fills>
  <borders count="2">
    <border diagonalUp="false" diagonalDown="false">
      <left/>
      <right/>
      <top/>
      <bottom/>
      <diagonal/>
    </border>
    <border diagonalUp="false" diagonalDown="false">
      <left style="thin">
        <color rgb="FFE3E0D5"/>
      </left>
      <right style="thin">
        <color rgb="FFE3E0D5"/>
      </right>
      <top style="thin">
        <color rgb="FFE3E0D5"/>
      </top>
      <bottom style="thin">
        <color rgb="FFE3E0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5" fontId="16" fillId="0" borderId="1" xfId="0" applyFont="true" applyBorder="true" applyAlignment="true" applyProtection="false">
      <alignment horizontal="general" vertical="center" textRotation="0" wrapText="true" indent="0" shrinkToFit="false"/>
      <protection locked="true" hidden="false"/>
    </xf>
    <xf numFmtId="164" fontId="17" fillId="3"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8" fontId="26" fillId="2"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C0DD97"/>
        </patternFill>
      </fill>
    </dxf>
    <dxf>
      <fill>
        <patternFill>
          <bgColor rgb="FFFAC775"/>
        </patternFill>
      </fill>
    </dxf>
    <dxf>
      <fill>
        <patternFill>
          <bgColor rgb="FFD3D1C7"/>
        </patternFill>
      </fill>
    </dxf>
    <dxf>
      <fill>
        <patternFill>
          <bgColor rgb="FFF7C1C1"/>
        </patternFill>
      </fill>
    </dxf>
    <dxf>
      <font>
        <b val="1"/>
        <color rgb="FF2E7D4F"/>
      </font>
    </dxf>
    <dxf>
      <font>
        <b val="1"/>
        <color rgb="FFC0392B"/>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B8934A"/>
      <rgbColor rgb="FF800080"/>
      <rgbColor rgb="FF2E7D4F"/>
      <rgbColor rgb="FFD3D1C7"/>
      <rgbColor rgb="FF878787"/>
      <rgbColor rgb="FF9999FF"/>
      <rgbColor rgb="FF903836"/>
      <rgbColor rgb="FFF7F5EF"/>
      <rgbColor rgb="FFCCFFFF"/>
      <rgbColor rgb="FF660066"/>
      <rgbColor rgb="FFCC8F8E"/>
      <rgbColor rgb="FF0066CC"/>
      <rgbColor rgb="FFD9D9D9"/>
      <rgbColor rgb="FF000080"/>
      <rgbColor rgb="FFFF00FF"/>
      <rgbColor rgb="FFFFFF00"/>
      <rgbColor rgb="FF00FFFF"/>
      <rgbColor rgb="FF800080"/>
      <rgbColor rgb="FF800000"/>
      <rgbColor rgb="FF008080"/>
      <rgbColor rgb="FF0000FF"/>
      <rgbColor rgb="FF00CCFF"/>
      <rgbColor rgb="FFCCFFFF"/>
      <rgbColor rgb="FFE3E0D5"/>
      <rgbColor rgb="FFFFFF99"/>
      <rgbColor rgb="FFC0DD97"/>
      <rgbColor rgb="FFDCB7B6"/>
      <rgbColor rgb="FFF7C1C1"/>
      <rgbColor rgb="FFFAC775"/>
      <rgbColor rgb="FF3366FF"/>
      <rgbColor rgb="FF33CCCC"/>
      <rgbColor rgb="FF99CC00"/>
      <rgbColor rgb="FFFFCC00"/>
      <rgbColor rgb="FFFF9900"/>
      <rgbColor rgb="FFBE4B48"/>
      <rgbColor rgb="FF6B6B6B"/>
      <rgbColor rgb="FF8A8A8A"/>
      <rgbColor rgb="FF003366"/>
      <rgbColor rgb="FF3FA87C"/>
      <rgbColor rgb="FF1A1A1A"/>
      <rgbColor rgb="FF2A2A2A"/>
      <rgbColor rgb="FFC0392B"/>
      <rgbColor rgb="FFAA433F"/>
      <rgbColor rgb="FF4A4A4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2"/>
  <c:chart>
    <c:title>
      <c:tx>
        <c:rich>
          <a:bodyPr rot="0"/>
          <a:lstStyle/>
          <a:p>
            <a:pPr>
              <a:defRPr sz="1300" b="0" u="none" strike="noStrike">
                <a:uFillTx/>
                <a:latin typeface="Arial"/>
              </a:defRPr>
            </a:pPr>
            <a:r>
              <a:rPr sz="1800" b="1" u="none" strike="noStrike">
                <a:solidFill>
                  <a:srgbClr val="000000"/>
                </a:solidFill>
                <a:uFillTx/>
                <a:latin typeface="Calibri"/>
              </a:rPr>
              <a:t>Conversion rate by week</a:t>
            </a:r>
          </a:p>
        </c:rich>
      </c:tx>
      <c:overlay val="0"/>
      <c:spPr>
        <a:noFill/>
        <a:ln w="0">
          <a:noFill/>
        </a:ln>
      </c:spPr>
    </c:title>
    <c:autoTitleDeleted val="0"/>
    <c:plotArea>
      <c:lineChart>
        <c:grouping val="standard"/>
        <c:varyColors val="0"/>
        <c:ser>
          <c:idx val="0"/>
          <c:order val="0"/>
          <c:tx>
            <c:strRef>
              <c:f>"Conversion Rate (%)"</c:f>
              <c:strCache>
                <c:ptCount val="1"/>
                <c:pt idx="0">
                  <c:v>Conversion Rate (%)</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multiLvlStrRef>
              <c:f>'KPI Tracking'!$D$4:$G$4</c:f>
              <c:multiLvlStrCache>
                <c:ptCount val="1"/>
                <c:lvl>
                  <c:pt idx="0">
                    <c:v>Week 4</c:v>
                  </c:pt>
                </c:lvl>
                <c:lvl>
                  <c:pt idx="0">
                    <c:v>Week 3</c:v>
                  </c:pt>
                </c:lvl>
                <c:lvl>
                  <c:pt idx="0">
                    <c:v>Week 2</c:v>
                  </c:pt>
                </c:lvl>
                <c:lvl>
                  <c:pt idx="0">
                    <c:v>Week 1</c:v>
                  </c:pt>
                </c:lvl>
              </c:multiLvlStrCache>
            </c:multiLvlStrRef>
          </c:cat>
          <c:val>
            <c:numRef>
              <c:f>'KPI Tracking'!$D$5:$G$5</c:f>
              <c:numCache>
                <c:formatCode>0.0</c:formatCode>
                <c:ptCount val="4"/>
                <c:pt idx="0">
                  <c:v>3.8</c:v>
                </c:pt>
                <c:pt idx="1">
                  <c:v>4.1</c:v>
                </c:pt>
                <c:pt idx="2">
                  <c:v>4.4</c:v>
                </c:pt>
                <c:pt idx="3">
                  <c:v>4.7</c:v>
                </c:pt>
              </c:numCache>
            </c:numRef>
          </c:val>
          <c:smooth val="1"/>
        </c:ser>
        <c:hiLowLines>
          <c:spPr>
            <a:ln w="0">
              <a:noFill/>
            </a:ln>
          </c:spPr>
        </c:hiLowLines>
        <c:marker val="0"/>
        <c:axId val="55183992"/>
        <c:axId val="87400311"/>
      </c:lineChart>
      <c:catAx>
        <c:axId val="551839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400311"/>
        <c:crosses val="autoZero"/>
        <c:auto val="1"/>
        <c:lblAlgn val="ctr"/>
        <c:lblOffset val="100"/>
        <c:noMultiLvlLbl val="0"/>
      </c:catAx>
      <c:valAx>
        <c:axId val="8740031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518399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2"/>
  <c:chart>
    <c:title>
      <c:tx>
        <c:rich>
          <a:bodyPr rot="0"/>
          <a:lstStyle/>
          <a:p>
            <a:pPr>
              <a:defRPr sz="1300" b="0" u="none" strike="noStrike">
                <a:uFillTx/>
                <a:latin typeface="Arial"/>
              </a:defRPr>
            </a:pPr>
            <a:r>
              <a:rPr sz="1800" b="1" u="none" strike="noStrike">
                <a:solidFill>
                  <a:srgbClr val="000000"/>
                </a:solidFill>
                <a:uFillTx/>
                <a:latin typeface="Calibri"/>
              </a:rPr>
              <a:t>All tracked metrics (normalized to Week 1 = 100)</a:t>
            </a:r>
          </a:p>
        </c:rich>
      </c:tx>
      <c:overlay val="0"/>
      <c:spPr>
        <a:noFill/>
        <a:ln w="0">
          <a:noFill/>
        </a:ln>
      </c:spPr>
    </c:title>
    <c:autoTitleDeleted val="0"/>
    <c:plotArea>
      <c:lineChart>
        <c:grouping val="standard"/>
        <c:varyColors val="0"/>
        <c:ser>
          <c:idx val="0"/>
          <c:order val="0"/>
          <c:tx>
            <c:strRef>
              <c:f>'Weekly Trends'!B28</c:f>
              <c:strCache>
                <c:ptCount val="1"/>
                <c:pt idx="0">
                  <c:v>Conversion Rate (%)</c:v>
                </c:pt>
              </c:strCache>
            </c:strRef>
          </c:tx>
          <c:spPr>
            <a:solidFill>
              <a:srgbClr val="903836"/>
            </a:solidFill>
            <a:ln w="12600">
              <a:solidFill>
                <a:srgbClr val="90383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'Weekly Trends'!$C$27:$F$27</c:f>
              <c:strCache>
                <c:ptCount val="4"/>
                <c:pt idx="0">
                  <c:v>Week 1</c:v>
                </c:pt>
                <c:pt idx="1">
                  <c:v>Week 2</c:v>
                </c:pt>
                <c:pt idx="2">
                  <c:v>Week 3</c:v>
                </c:pt>
                <c:pt idx="3">
                  <c:v>Week 4</c:v>
                </c:pt>
              </c:strCache>
            </c:strRef>
          </c:cat>
          <c:val>
            <c:numRef>
              <c:f>'Weekly Trends'!$C$28:$F$28</c:f>
              <c:numCache>
                <c:formatCode>0.0</c:formatCode>
                <c:ptCount val="4"/>
                <c:pt idx="0">
                  <c:v>100</c:v>
                </c:pt>
                <c:pt idx="1">
                  <c:v>107.894736842105</c:v>
                </c:pt>
                <c:pt idx="2">
                  <c:v>115.789473684211</c:v>
                </c:pt>
                <c:pt idx="3">
                  <c:v>123.684210526316</c:v>
                </c:pt>
              </c:numCache>
            </c:numRef>
          </c:val>
          <c:smooth val="1"/>
        </c:ser>
        <c:ser>
          <c:idx val="1"/>
          <c:order val="1"/>
          <c:tx>
            <c:strRef>
              <c:f>'Weekly Trends'!B29</c:f>
              <c:strCache>
                <c:ptCount val="1"/>
                <c:pt idx="0">
                  <c:v>Cart Abandonment (%)</c:v>
                </c:pt>
              </c:strCache>
            </c:strRef>
          </c:tx>
          <c:spPr>
            <a:solidFill>
              <a:srgbClr val="AA433F"/>
            </a:solidFill>
            <a:ln w="12600">
              <a:solidFill>
                <a:srgbClr val="AA433F"/>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'Weekly Trends'!$C$27:$F$27</c:f>
              <c:strCache>
                <c:ptCount val="4"/>
                <c:pt idx="0">
                  <c:v>Week 1</c:v>
                </c:pt>
                <c:pt idx="1">
                  <c:v>Week 2</c:v>
                </c:pt>
                <c:pt idx="2">
                  <c:v>Week 3</c:v>
                </c:pt>
                <c:pt idx="3">
                  <c:v>Week 4</c:v>
                </c:pt>
              </c:strCache>
            </c:strRef>
          </c:cat>
          <c:val>
            <c:numRef>
              <c:f>'Weekly Trends'!$C$29:$F$29</c:f>
              <c:numCache>
                <c:formatCode>0.0</c:formatCode>
                <c:ptCount val="4"/>
                <c:pt idx="0">
                  <c:v>100</c:v>
                </c:pt>
                <c:pt idx="1">
                  <c:v>95.5882352941177</c:v>
                </c:pt>
                <c:pt idx="2">
                  <c:v>92.6470588235294</c:v>
                </c:pt>
                <c:pt idx="3">
                  <c:v>89.7058823529412</c:v>
                </c:pt>
              </c:numCache>
            </c:numRef>
          </c:val>
          <c:smooth val="1"/>
        </c:ser>
        <c:ser>
          <c:idx val="2"/>
          <c:order val="2"/>
          <c:tx>
            <c:strRef>
              <c:f>'Weekly Trends'!B30</c:f>
              <c:strCache>
                <c:ptCount val="1"/>
                <c:pt idx="0">
                  <c:v>Revenue per Visitor ($)</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'Weekly Trends'!$C$27:$F$27</c:f>
              <c:strCache>
                <c:ptCount val="4"/>
                <c:pt idx="0">
                  <c:v>Week 1</c:v>
                </c:pt>
                <c:pt idx="1">
                  <c:v>Week 2</c:v>
                </c:pt>
                <c:pt idx="2">
                  <c:v>Week 3</c:v>
                </c:pt>
                <c:pt idx="3">
                  <c:v>Week 4</c:v>
                </c:pt>
              </c:strCache>
            </c:strRef>
          </c:cat>
          <c:val>
            <c:numRef>
              <c:f>'Weekly Trends'!$C$30:$F$30</c:f>
              <c:numCache>
                <c:formatCode>0.0</c:formatCode>
                <c:ptCount val="4"/>
                <c:pt idx="0">
                  <c:v>100</c:v>
                </c:pt>
                <c:pt idx="1">
                  <c:v>107.017543859649</c:v>
                </c:pt>
                <c:pt idx="2">
                  <c:v>110.526315789474</c:v>
                </c:pt>
                <c:pt idx="3">
                  <c:v>117.543859649123</c:v>
                </c:pt>
              </c:numCache>
            </c:numRef>
          </c:val>
          <c:smooth val="1"/>
        </c:ser>
        <c:ser>
          <c:idx val="3"/>
          <c:order val="3"/>
          <c:tx>
            <c:strRef>
              <c:f>'Weekly Trends'!B31</c:f>
              <c:strCache>
                <c:ptCount val="1"/>
                <c:pt idx="0">
                  <c:v>Daily Active Users</c:v>
                </c:pt>
              </c:strCache>
            </c:strRef>
          </c:tx>
          <c:spPr>
            <a:solidFill>
              <a:srgbClr val="CC8F8E"/>
            </a:solidFill>
            <a:ln w="12600">
              <a:solidFill>
                <a:srgbClr val="CC8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'Weekly Trends'!$C$27:$F$27</c:f>
              <c:strCache>
                <c:ptCount val="4"/>
                <c:pt idx="0">
                  <c:v>Week 1</c:v>
                </c:pt>
                <c:pt idx="1">
                  <c:v>Week 2</c:v>
                </c:pt>
                <c:pt idx="2">
                  <c:v>Week 3</c:v>
                </c:pt>
                <c:pt idx="3">
                  <c:v>Week 4</c:v>
                </c:pt>
              </c:strCache>
            </c:strRef>
          </c:cat>
          <c:val>
            <c:numRef>
              <c:f>'Weekly Trends'!$C$31:$F$31</c:f>
              <c:numCache>
                <c:formatCode>0.0</c:formatCode>
                <c:ptCount val="4"/>
                <c:pt idx="0">
                  <c:v>100</c:v>
                </c:pt>
                <c:pt idx="1">
                  <c:v>103.508771929825</c:v>
                </c:pt>
                <c:pt idx="2">
                  <c:v>106.140350877193</c:v>
                </c:pt>
                <c:pt idx="3">
                  <c:v>110.526315789474</c:v>
                </c:pt>
              </c:numCache>
            </c:numRef>
          </c:val>
          <c:smooth val="1"/>
        </c:ser>
        <c:ser>
          <c:idx val="4"/>
          <c:order val="4"/>
          <c:tx>
            <c:strRef>
              <c:f>'Weekly Trends'!B32</c:f>
              <c:strCache>
                <c:ptCount val="1"/>
                <c:pt idx="0">
                  <c:v>Support Tickets (checkout)</c:v>
                </c:pt>
              </c:strCache>
            </c:strRef>
          </c:tx>
          <c:spPr>
            <a:solidFill>
              <a:srgbClr val="DCB7B6"/>
            </a:solidFill>
            <a:ln w="12600">
              <a:solidFill>
                <a:srgbClr val="DCB7B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'Weekly Trends'!$C$27:$F$27</c:f>
              <c:strCache>
                <c:ptCount val="4"/>
                <c:pt idx="0">
                  <c:v>Week 1</c:v>
                </c:pt>
                <c:pt idx="1">
                  <c:v>Week 2</c:v>
                </c:pt>
                <c:pt idx="2">
                  <c:v>Week 3</c:v>
                </c:pt>
                <c:pt idx="3">
                  <c:v>Week 4</c:v>
                </c:pt>
              </c:strCache>
            </c:strRef>
          </c:cat>
          <c:val>
            <c:numRef>
              <c:f>'Weekly Trends'!$C$32:$F$32</c:f>
              <c:numCache>
                <c:formatCode>0.0</c:formatCode>
                <c:ptCount val="4"/>
                <c:pt idx="0">
                  <c:v>100</c:v>
                </c:pt>
                <c:pt idx="1">
                  <c:v>87.9310344827586</c:v>
                </c:pt>
                <c:pt idx="2">
                  <c:v>75.8620689655172</c:v>
                </c:pt>
                <c:pt idx="3">
                  <c:v>65.5172413793104</c:v>
                </c:pt>
              </c:numCache>
            </c:numRef>
          </c:val>
          <c:smooth val="1"/>
        </c:ser>
        <c:hiLowLines>
          <c:spPr>
            <a:ln w="0">
              <a:noFill/>
            </a:ln>
          </c:spPr>
        </c:hiLowLines>
        <c:marker val="0"/>
        <c:axId val="34340054"/>
        <c:axId val="15642780"/>
      </c:lineChart>
      <c:catAx>
        <c:axId val="343400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5642780"/>
        <c:crosses val="autoZero"/>
        <c:auto val="1"/>
        <c:lblAlgn val="ctr"/>
        <c:lblOffset val="100"/>
        <c:noMultiLvlLbl val="0"/>
      </c:catAx>
      <c:valAx>
        <c:axId val="1564278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34005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xdr:row>
      <xdr:rowOff>0</xdr:rowOff>
    </xdr:from>
    <xdr:to>
      <xdr:col>11</xdr:col>
      <xdr:colOff>4680</xdr:colOff>
      <xdr:row>21</xdr:row>
      <xdr:rowOff>1080</xdr:rowOff>
    </xdr:to>
    <xdr:graphicFrame>
      <xdr:nvGraphicFramePr>
        <xdr:cNvPr id="1" name="Chart 1"/>
        <xdr:cNvGraphicFramePr/>
      </xdr:nvGraphicFramePr>
      <xdr:xfrm>
        <a:off x="611640" y="85140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36</xdr:row>
      <xdr:rowOff>0</xdr:rowOff>
    </xdr:from>
    <xdr:to>
      <xdr:col>11</xdr:col>
      <xdr:colOff>4680</xdr:colOff>
      <xdr:row>53</xdr:row>
      <xdr:rowOff>1080</xdr:rowOff>
    </xdr:to>
    <xdr:graphicFrame>
      <xdr:nvGraphicFramePr>
        <xdr:cNvPr id="2" name="Chart 2"/>
        <xdr:cNvGraphicFramePr/>
      </xdr:nvGraphicFramePr>
      <xdr:xfrm>
        <a:off x="611640" y="694764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34A"/>
    <pageSetUpPr fitToPage="false"/>
  </sheetPr>
  <dimension ref="B2:G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7" min="2" style="0" width="16"/>
    <col collapsed="false" customWidth="true" hidden="false" outlineLevel="0" max="8" min="8" style="0" width="3"/>
  </cols>
  <sheetData>
    <row r="2" customFormat="false" ht="15" hidden="false" customHeight="false" outlineLevel="0" collapsed="false">
      <c r="B2" s="1" t="s">
        <v>0</v>
      </c>
      <c r="C2" s="1"/>
      <c r="D2" s="1"/>
      <c r="E2" s="1"/>
      <c r="F2" s="1"/>
      <c r="G2" s="1"/>
    </row>
    <row r="4" customFormat="false" ht="15" hidden="false" customHeight="false" outlineLevel="0" collapsed="false">
      <c r="B4" s="2" t="s">
        <v>1</v>
      </c>
      <c r="C4" s="2"/>
      <c r="D4" s="2"/>
      <c r="E4" s="2"/>
      <c r="F4" s="2"/>
      <c r="G4" s="2"/>
    </row>
    <row r="5" customFormat="false" ht="15" hidden="false" customHeight="false" outlineLevel="0" collapsed="false">
      <c r="B5" s="2"/>
      <c r="C5" s="2"/>
      <c r="D5" s="2"/>
      <c r="E5" s="2"/>
      <c r="F5" s="2"/>
      <c r="G5" s="2"/>
    </row>
    <row r="6" customFormat="false" ht="15" hidden="false" customHeight="false" outlineLevel="0" collapsed="false">
      <c r="B6" s="2"/>
      <c r="C6" s="2"/>
      <c r="D6" s="2"/>
      <c r="E6" s="2"/>
      <c r="F6" s="2"/>
      <c r="G6" s="2"/>
    </row>
    <row r="7" customFormat="false" ht="15" hidden="false" customHeight="true" outlineLevel="0" collapsed="false">
      <c r="B7" s="3" t="s">
        <v>2</v>
      </c>
      <c r="C7" s="3"/>
      <c r="D7" s="3"/>
      <c r="E7" s="3"/>
      <c r="F7" s="3"/>
      <c r="G7" s="3"/>
    </row>
    <row r="8" customFormat="false" ht="15" hidden="false" customHeight="false" outlineLevel="0" collapsed="false">
      <c r="B8" s="3"/>
      <c r="C8" s="3"/>
      <c r="D8" s="3"/>
      <c r="E8" s="3"/>
      <c r="F8" s="3"/>
      <c r="G8" s="3"/>
    </row>
    <row r="10" customFormat="false" ht="15" hidden="false" customHeight="false" outlineLevel="0" collapsed="false">
      <c r="B10" s="4" t="s">
        <v>3</v>
      </c>
    </row>
    <row r="11" customFormat="false" ht="15" hidden="false" customHeight="false" outlineLevel="0" collapsed="false">
      <c r="B11" s="5" t="s">
        <v>4</v>
      </c>
      <c r="C11" s="6" t="s">
        <v>5</v>
      </c>
      <c r="D11" s="6"/>
      <c r="E11" s="6"/>
      <c r="F11" s="6"/>
      <c r="G11" s="6"/>
    </row>
    <row r="12" customFormat="false" ht="15" hidden="false" customHeight="false" outlineLevel="0" collapsed="false">
      <c r="B12" s="5" t="s">
        <v>4</v>
      </c>
      <c r="C12" s="6" t="s">
        <v>6</v>
      </c>
      <c r="D12" s="6"/>
      <c r="E12" s="6"/>
      <c r="F12" s="6"/>
      <c r="G12" s="6"/>
    </row>
    <row r="13" customFormat="false" ht="15" hidden="false" customHeight="false" outlineLevel="0" collapsed="false">
      <c r="B13" s="5" t="s">
        <v>4</v>
      </c>
      <c r="C13" s="6" t="s">
        <v>7</v>
      </c>
      <c r="D13" s="6"/>
      <c r="E13" s="6"/>
      <c r="F13" s="6"/>
      <c r="G13" s="6"/>
    </row>
    <row r="14" customFormat="false" ht="15" hidden="false" customHeight="false" outlineLevel="0" collapsed="false">
      <c r="B14" s="5" t="s">
        <v>4</v>
      </c>
      <c r="C14" s="6" t="s">
        <v>8</v>
      </c>
      <c r="D14" s="6"/>
      <c r="E14" s="6"/>
      <c r="F14" s="6"/>
      <c r="G14" s="6"/>
    </row>
    <row r="15" customFormat="false" ht="15" hidden="false" customHeight="false" outlineLevel="0" collapsed="false">
      <c r="B15" s="5" t="s">
        <v>4</v>
      </c>
      <c r="C15" s="6" t="s">
        <v>9</v>
      </c>
      <c r="D15" s="6"/>
      <c r="E15" s="6"/>
      <c r="F15" s="6"/>
      <c r="G15" s="6"/>
    </row>
    <row r="16" customFormat="false" ht="15" hidden="false" customHeight="false" outlineLevel="0" collapsed="false">
      <c r="B16" s="5" t="s">
        <v>4</v>
      </c>
      <c r="C16" s="6" t="s">
        <v>10</v>
      </c>
      <c r="D16" s="6"/>
      <c r="E16" s="6"/>
      <c r="F16" s="6"/>
      <c r="G16" s="6"/>
    </row>
    <row r="19" customFormat="false" ht="15" hidden="false" customHeight="false" outlineLevel="0" collapsed="false">
      <c r="B19" s="4" t="s">
        <v>11</v>
      </c>
    </row>
    <row r="20" customFormat="false" ht="15" hidden="false" customHeight="true" outlineLevel="0" collapsed="false">
      <c r="B20" s="7" t="s">
        <v>12</v>
      </c>
      <c r="C20" s="7"/>
      <c r="D20" s="7"/>
      <c r="E20" s="7"/>
      <c r="F20" s="7"/>
      <c r="G20" s="7"/>
    </row>
    <row r="21" customFormat="false" ht="15" hidden="false" customHeight="false" outlineLevel="0" collapsed="false">
      <c r="B21" s="7"/>
      <c r="C21" s="7"/>
      <c r="D21" s="7"/>
      <c r="E21" s="7"/>
      <c r="F21" s="7"/>
      <c r="G21" s="7"/>
    </row>
    <row r="24" customFormat="false" ht="15" hidden="false" customHeight="false" outlineLevel="0" collapsed="false">
      <c r="B24" s="8" t="s">
        <v>13</v>
      </c>
    </row>
  </sheetData>
  <mergeCells count="10">
    <mergeCell ref="B2:G2"/>
    <mergeCell ref="B4:G6"/>
    <mergeCell ref="B7:G8"/>
    <mergeCell ref="C11:G11"/>
    <mergeCell ref="C12:G12"/>
    <mergeCell ref="C13:G13"/>
    <mergeCell ref="C14:G14"/>
    <mergeCell ref="C15:G15"/>
    <mergeCell ref="C16:G16"/>
    <mergeCell ref="B20: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0"/>
  </cols>
  <sheetData>
    <row r="2" customFormat="false" ht="24.45" hidden="false" customHeight="false" outlineLevel="0" collapsed="false">
      <c r="B2" s="9" t="s">
        <v>14</v>
      </c>
    </row>
    <row r="4" customFormat="false" ht="16.15" hidden="false" customHeight="false" outlineLevel="0" collapsed="false">
      <c r="B4" s="10" t="s">
        <v>15</v>
      </c>
    </row>
    <row r="5" customFormat="false" ht="23.85" hidden="false" customHeight="false" outlineLevel="0" collapsed="false">
      <c r="B5" s="11" t="s">
        <v>16</v>
      </c>
    </row>
    <row r="7" customFormat="false" ht="16.15" hidden="false" customHeight="false" outlineLevel="0" collapsed="false">
      <c r="B7" s="10" t="s">
        <v>17</v>
      </c>
    </row>
    <row r="8" customFormat="false" ht="15" hidden="false" customHeight="false" outlineLevel="0" collapsed="false">
      <c r="B8" s="11" t="s">
        <v>18</v>
      </c>
    </row>
    <row r="10" customFormat="false" ht="16.15" hidden="false" customHeight="false" outlineLevel="0" collapsed="false">
      <c r="B10" s="10" t="s">
        <v>19</v>
      </c>
    </row>
    <row r="11" customFormat="false" ht="23.85" hidden="false" customHeight="false" outlineLevel="0" collapsed="false">
      <c r="B11" s="11" t="s">
        <v>20</v>
      </c>
    </row>
    <row r="13" customFormat="false" ht="16.15" hidden="false" customHeight="false" outlineLevel="0" collapsed="false">
      <c r="B13" s="10" t="s">
        <v>21</v>
      </c>
    </row>
    <row r="14" customFormat="false" ht="15" hidden="false" customHeight="false" outlineLevel="0" collapsed="false">
      <c r="B14" s="11" t="s">
        <v>22</v>
      </c>
    </row>
    <row r="16" customFormat="false" ht="16.15" hidden="false" customHeight="false" outlineLevel="0" collapsed="false">
      <c r="B16" s="10" t="s">
        <v>23</v>
      </c>
    </row>
    <row r="17" customFormat="false" ht="23.85" hidden="false" customHeight="false" outlineLevel="0" collapsed="false">
      <c r="B17" s="11" t="s">
        <v>24</v>
      </c>
    </row>
    <row r="19" customFormat="false" ht="16.15" hidden="false" customHeight="false" outlineLevel="0" collapsed="false">
      <c r="B19" s="10" t="s">
        <v>25</v>
      </c>
    </row>
    <row r="20" customFormat="false" ht="23.85" hidden="false" customHeight="false" outlineLevel="0" collapsed="false">
      <c r="B20" s="11" t="s">
        <v>26</v>
      </c>
    </row>
    <row r="22" customFormat="false" ht="16.15" hidden="false" customHeight="false" outlineLevel="0" collapsed="false">
      <c r="B22" s="10" t="s">
        <v>27</v>
      </c>
    </row>
    <row r="23" customFormat="false" ht="46.25" hidden="false" customHeight="false" outlineLevel="0" collapsed="false">
      <c r="B23" s="11"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60"/>
  </cols>
  <sheetData>
    <row r="2" customFormat="false" ht="22.05" hidden="false" customHeight="false" outlineLevel="0" collapsed="false">
      <c r="B2" s="12" t="s">
        <v>29</v>
      </c>
    </row>
    <row r="4" customFormat="false" ht="31.5" hidden="false" customHeight="true" outlineLevel="0" collapsed="false">
      <c r="B4" s="13" t="s">
        <v>30</v>
      </c>
      <c r="C4" s="14" t="s">
        <v>31</v>
      </c>
    </row>
    <row r="5" customFormat="false" ht="31.5" hidden="false" customHeight="true" outlineLevel="0" collapsed="false">
      <c r="B5" s="13" t="s">
        <v>32</v>
      </c>
      <c r="C5" s="14"/>
    </row>
    <row r="6" customFormat="false" ht="31.5" hidden="false" customHeight="true" outlineLevel="0" collapsed="false">
      <c r="B6" s="13" t="s">
        <v>33</v>
      </c>
      <c r="C6" s="15" t="n">
        <v>46174</v>
      </c>
    </row>
    <row r="7" customFormat="false" ht="31.5" hidden="false" customHeight="true" outlineLevel="0" collapsed="false">
      <c r="B7" s="13" t="s">
        <v>34</v>
      </c>
      <c r="C7" s="15" t="n">
        <v>46213</v>
      </c>
    </row>
    <row r="8" customFormat="false" ht="31.5" hidden="false" customHeight="true" outlineLevel="0" collapsed="false">
      <c r="B8" s="13" t="s">
        <v>35</v>
      </c>
      <c r="C8" s="14" t="s">
        <v>36</v>
      </c>
    </row>
    <row r="9" customFormat="false" ht="31.5" hidden="false" customHeight="true" outlineLevel="0" collapsed="false">
      <c r="B9" s="13" t="s">
        <v>37</v>
      </c>
      <c r="C9" s="14" t="s">
        <v>38</v>
      </c>
    </row>
    <row r="10" customFormat="false" ht="31.5" hidden="false" customHeight="true" outlineLevel="0" collapsed="false">
      <c r="B10" s="13" t="s">
        <v>39</v>
      </c>
      <c r="C10" s="14" t="s">
        <v>40</v>
      </c>
    </row>
    <row r="11" customFormat="false" ht="31.5" hidden="false" customHeight="true" outlineLevel="0" collapsed="false">
      <c r="B11" s="13" t="s">
        <v>41</v>
      </c>
      <c r="C11" s="14" t="s">
        <v>42</v>
      </c>
    </row>
  </sheetData>
  <dataValidations count="1">
    <dataValidation allowBlank="true" errorStyle="stop" operator="between" showDropDown="false" showErrorMessage="false" showInputMessage="false" sqref="C11" type="list">
      <formula1>"Not Started,In Progress,Complete,On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4"/>
    <col collapsed="false" customWidth="true" hidden="false" outlineLevel="0" max="3" min="3" style="0" width="16"/>
    <col collapsed="false" customWidth="true" hidden="false" outlineLevel="0" max="5" min="4" style="0" width="14"/>
    <col collapsed="false" customWidth="true" hidden="false" outlineLevel="0" max="7" min="6" style="0" width="16"/>
  </cols>
  <sheetData>
    <row r="2" customFormat="false" ht="22.05" hidden="false" customHeight="false" outlineLevel="0" collapsed="false">
      <c r="B2" s="12" t="s">
        <v>43</v>
      </c>
    </row>
    <row r="4" customFormat="false" ht="30" hidden="false" customHeight="true" outlineLevel="0" collapsed="false">
      <c r="B4" s="16" t="s">
        <v>44</v>
      </c>
      <c r="C4" s="16" t="s">
        <v>32</v>
      </c>
      <c r="D4" s="16" t="s">
        <v>45</v>
      </c>
      <c r="E4" s="16" t="s">
        <v>46</v>
      </c>
      <c r="F4" s="16" t="s">
        <v>47</v>
      </c>
      <c r="G4" s="16" t="s">
        <v>41</v>
      </c>
    </row>
    <row r="5" customFormat="false" ht="15" hidden="false" customHeight="false" outlineLevel="0" collapsed="false">
      <c r="B5" s="17" t="s">
        <v>48</v>
      </c>
      <c r="C5" s="17" t="s">
        <v>49</v>
      </c>
      <c r="D5" s="18" t="n">
        <v>46143</v>
      </c>
      <c r="E5" s="18" t="n">
        <v>46152</v>
      </c>
      <c r="F5" s="17" t="n">
        <f aca="false">E5-D5</f>
        <v>9</v>
      </c>
      <c r="G5" s="17" t="s">
        <v>50</v>
      </c>
    </row>
    <row r="6" customFormat="false" ht="15" hidden="false" customHeight="false" outlineLevel="0" collapsed="false">
      <c r="B6" s="17" t="s">
        <v>51</v>
      </c>
      <c r="C6" s="17" t="s">
        <v>52</v>
      </c>
      <c r="D6" s="18" t="n">
        <v>46153</v>
      </c>
      <c r="E6" s="18" t="n">
        <v>46162</v>
      </c>
      <c r="F6" s="17" t="n">
        <f aca="false">E6-D6</f>
        <v>9</v>
      </c>
      <c r="G6" s="17" t="s">
        <v>50</v>
      </c>
    </row>
    <row r="7" customFormat="false" ht="15" hidden="false" customHeight="false" outlineLevel="0" collapsed="false">
      <c r="B7" s="17" t="s">
        <v>53</v>
      </c>
      <c r="C7" s="17" t="s">
        <v>54</v>
      </c>
      <c r="D7" s="18" t="n">
        <v>46163</v>
      </c>
      <c r="E7" s="18" t="n">
        <v>46173</v>
      </c>
      <c r="F7" s="17" t="n">
        <f aca="false">E7-D7</f>
        <v>10</v>
      </c>
      <c r="G7" s="17" t="s">
        <v>50</v>
      </c>
    </row>
    <row r="8" customFormat="false" ht="15" hidden="false" customHeight="false" outlineLevel="0" collapsed="false">
      <c r="B8" s="17" t="s">
        <v>55</v>
      </c>
      <c r="C8" s="17" t="s">
        <v>56</v>
      </c>
      <c r="D8" s="18" t="n">
        <v>46174</v>
      </c>
      <c r="E8" s="18" t="n">
        <v>46180</v>
      </c>
      <c r="F8" s="17" t="n">
        <f aca="false">E8-D8</f>
        <v>6</v>
      </c>
      <c r="G8" s="17" t="s">
        <v>50</v>
      </c>
    </row>
    <row r="9" customFormat="false" ht="15" hidden="false" customHeight="false" outlineLevel="0" collapsed="false">
      <c r="B9" s="17" t="s">
        <v>57</v>
      </c>
      <c r="C9" s="17" t="s">
        <v>56</v>
      </c>
      <c r="D9" s="18" t="n">
        <v>46181</v>
      </c>
      <c r="E9" s="18" t="n">
        <v>46194</v>
      </c>
      <c r="F9" s="17" t="n">
        <f aca="false">E9-D9</f>
        <v>13</v>
      </c>
      <c r="G9" s="17" t="s">
        <v>42</v>
      </c>
    </row>
    <row r="10" customFormat="false" ht="15" hidden="false" customHeight="false" outlineLevel="0" collapsed="false">
      <c r="B10" s="17" t="s">
        <v>58</v>
      </c>
      <c r="C10" s="17" t="s">
        <v>59</v>
      </c>
      <c r="D10" s="18" t="n">
        <v>46195</v>
      </c>
      <c r="E10" s="18" t="n">
        <v>46213</v>
      </c>
      <c r="F10" s="17" t="n">
        <f aca="false">E10-D10</f>
        <v>18</v>
      </c>
      <c r="G10" s="17" t="s">
        <v>60</v>
      </c>
    </row>
  </sheetData>
  <conditionalFormatting sqref="G5:G20">
    <cfRule type="expression" priority="2" aboveAverage="0" equalAverage="0" bottom="0" percent="0" rank="0" text="" dxfId="0">
      <formula>$G5="Complete"</formula>
    </cfRule>
    <cfRule type="expression" priority="3" aboveAverage="0" equalAverage="0" bottom="0" percent="0" rank="0" text="" dxfId="1">
      <formula>$G5="In Progress"</formula>
    </cfRule>
    <cfRule type="expression" priority="4" aboveAverage="0" equalAverage="0" bottom="0" percent="0" rank="0" text="" dxfId="2">
      <formula>$G5="Not Started"</formula>
    </cfRule>
    <cfRule type="expression" priority="5" aboveAverage="0" equalAverage="0" bottom="0" percent="0" rank="0" text="" dxfId="3">
      <formula>$G5="Blocked"</formula>
    </cfRule>
  </conditionalFormatting>
  <dataValidations count="1">
    <dataValidation allowBlank="true" errorStyle="stop" operator="between" showDropDown="false" showErrorMessage="false" showInputMessage="false" sqref="G5:G20" type="list">
      <formula1>"Not Started,In Progress,Complete,Blocked"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7" min="3" style="0" width="12"/>
    <col collapsed="false" customWidth="true" hidden="false" outlineLevel="0" max="8" min="8" style="0" width="14"/>
  </cols>
  <sheetData>
    <row r="2" customFormat="false" ht="22.05" hidden="false" customHeight="false" outlineLevel="0" collapsed="false">
      <c r="B2" s="12" t="s">
        <v>61</v>
      </c>
    </row>
    <row r="4" customFormat="false" ht="30" hidden="false" customHeight="true" outlineLevel="0" collapsed="false">
      <c r="B4" s="16" t="s">
        <v>62</v>
      </c>
      <c r="C4" s="16" t="s">
        <v>63</v>
      </c>
      <c r="D4" s="16" t="s">
        <v>64</v>
      </c>
      <c r="E4" s="16" t="s">
        <v>65</v>
      </c>
      <c r="F4" s="16" t="s">
        <v>66</v>
      </c>
      <c r="G4" s="16" t="s">
        <v>67</v>
      </c>
      <c r="H4" s="16" t="s">
        <v>68</v>
      </c>
    </row>
    <row r="5" customFormat="false" ht="15" hidden="false" customHeight="false" outlineLevel="0" collapsed="false">
      <c r="B5" s="17" t="s">
        <v>69</v>
      </c>
      <c r="C5" s="19" t="n">
        <v>4.5</v>
      </c>
      <c r="D5" s="19" t="n">
        <v>3.8</v>
      </c>
      <c r="E5" s="19" t="n">
        <v>4.1</v>
      </c>
      <c r="F5" s="19" t="n">
        <v>4.4</v>
      </c>
      <c r="G5" s="19" t="n">
        <v>4.7</v>
      </c>
      <c r="H5" s="20" t="n">
        <f aca="false">G5/C5-1</f>
        <v>0.0444444444444445</v>
      </c>
    </row>
    <row r="6" customFormat="false" ht="15" hidden="false" customHeight="false" outlineLevel="0" collapsed="false">
      <c r="B6" s="17" t="s">
        <v>70</v>
      </c>
      <c r="C6" s="21" t="n">
        <v>62</v>
      </c>
      <c r="D6" s="21" t="n">
        <v>68</v>
      </c>
      <c r="E6" s="21" t="n">
        <v>65</v>
      </c>
      <c r="F6" s="21" t="n">
        <v>63</v>
      </c>
      <c r="G6" s="21" t="n">
        <v>61</v>
      </c>
      <c r="H6" s="20" t="n">
        <f aca="false">G6/C6-1</f>
        <v>-0.0161290322580645</v>
      </c>
    </row>
    <row r="7" customFormat="false" ht="15" hidden="false" customHeight="false" outlineLevel="0" collapsed="false">
      <c r="B7" s="17" t="s">
        <v>71</v>
      </c>
      <c r="C7" s="22" t="n">
        <v>3.2</v>
      </c>
      <c r="D7" s="22" t="n">
        <v>2.85</v>
      </c>
      <c r="E7" s="22" t="n">
        <v>3.05</v>
      </c>
      <c r="F7" s="22" t="n">
        <v>3.15</v>
      </c>
      <c r="G7" s="22" t="n">
        <v>3.35</v>
      </c>
      <c r="H7" s="20" t="n">
        <f aca="false">G7/C7-1</f>
        <v>0.046875</v>
      </c>
    </row>
    <row r="8" customFormat="false" ht="15" hidden="false" customHeight="false" outlineLevel="0" collapsed="false">
      <c r="B8" s="17" t="s">
        <v>72</v>
      </c>
      <c r="C8" s="23" t="n">
        <v>12000</v>
      </c>
      <c r="D8" s="23" t="n">
        <v>11400</v>
      </c>
      <c r="E8" s="23" t="n">
        <v>11800</v>
      </c>
      <c r="F8" s="23" t="n">
        <v>12100</v>
      </c>
      <c r="G8" s="23" t="n">
        <v>12600</v>
      </c>
      <c r="H8" s="20" t="n">
        <f aca="false">G8/C8-1</f>
        <v>0.05</v>
      </c>
    </row>
    <row r="9" customFormat="false" ht="15" hidden="false" customHeight="false" outlineLevel="0" collapsed="false">
      <c r="B9" s="17" t="s">
        <v>73</v>
      </c>
      <c r="C9" s="21" t="n">
        <v>40</v>
      </c>
      <c r="D9" s="21" t="n">
        <v>58</v>
      </c>
      <c r="E9" s="21" t="n">
        <v>51</v>
      </c>
      <c r="F9" s="21" t="n">
        <v>44</v>
      </c>
      <c r="G9" s="21" t="n">
        <v>38</v>
      </c>
      <c r="H9" s="20" t="n">
        <f aca="false">G9/C9-1</f>
        <v>-0.05</v>
      </c>
    </row>
  </sheetData>
  <conditionalFormatting sqref="H5:H9">
    <cfRule type="cellIs" priority="2" operator="greaterThanOrEqual" aboveAverage="0" equalAverage="0" bottom="0" percent="0" rank="0" text="" dxfId="4">
      <formula>0</formula>
    </cfRule>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5" min="3" style="0" width="14"/>
    <col collapsed="false" customWidth="true" hidden="false" outlineLevel="0" max="6" min="6" style="0" width="40"/>
  </cols>
  <sheetData>
    <row r="2" customFormat="false" ht="22.05" hidden="false" customHeight="false" outlineLevel="0" collapsed="false">
      <c r="B2" s="12" t="s">
        <v>74</v>
      </c>
    </row>
    <row r="4" customFormat="false" ht="30" hidden="false" customHeight="true" outlineLevel="0" collapsed="false">
      <c r="B4" s="16" t="s">
        <v>62</v>
      </c>
      <c r="C4" s="16" t="s">
        <v>75</v>
      </c>
      <c r="D4" s="16" t="s">
        <v>76</v>
      </c>
      <c r="E4" s="16" t="s">
        <v>77</v>
      </c>
      <c r="F4" s="16" t="s">
        <v>78</v>
      </c>
    </row>
    <row r="5" customFormat="false" ht="15" hidden="false" customHeight="false" outlineLevel="0" collapsed="false">
      <c r="B5" s="17" t="str">
        <f aca="false">'KPI Tracking'!B5</f>
        <v>Conversion Rate (%)</v>
      </c>
      <c r="C5" s="19" t="n">
        <f aca="false">'KPI Tracking'!D5</f>
        <v>3.8</v>
      </c>
      <c r="D5" s="19" t="n">
        <f aca="false">'KPI Tracking'!G5</f>
        <v>4.7</v>
      </c>
      <c r="E5" s="20" t="n">
        <f aca="false">(D5-C5)/C5</f>
        <v>0.236842105263158</v>
      </c>
      <c r="F5" s="17" t="s">
        <v>79</v>
      </c>
    </row>
    <row r="6" customFormat="false" ht="15" hidden="false" customHeight="false" outlineLevel="0" collapsed="false">
      <c r="B6" s="17" t="str">
        <f aca="false">'KPI Tracking'!B6</f>
        <v>Cart Abandonment (%)</v>
      </c>
      <c r="C6" s="21" t="n">
        <f aca="false">'KPI Tracking'!D6</f>
        <v>68</v>
      </c>
      <c r="D6" s="21" t="n">
        <f aca="false">'KPI Tracking'!G6</f>
        <v>61</v>
      </c>
      <c r="E6" s="20" t="n">
        <f aca="false">(D6-C6)/C6</f>
        <v>-0.102941176470588</v>
      </c>
      <c r="F6" s="17" t="s">
        <v>80</v>
      </c>
    </row>
    <row r="7" customFormat="false" ht="15" hidden="false" customHeight="false" outlineLevel="0" collapsed="false">
      <c r="B7" s="17" t="str">
        <f aca="false">'KPI Tracking'!B7</f>
        <v>Revenue per Visitor ($)</v>
      </c>
      <c r="C7" s="22" t="n">
        <f aca="false">'KPI Tracking'!D7</f>
        <v>2.85</v>
      </c>
      <c r="D7" s="22" t="n">
        <f aca="false">'KPI Tracking'!G7</f>
        <v>3.35</v>
      </c>
      <c r="E7" s="20" t="n">
        <f aca="false">(D7-C7)/C7</f>
        <v>0.175438596491228</v>
      </c>
      <c r="F7" s="17" t="s">
        <v>81</v>
      </c>
    </row>
    <row r="8" customFormat="false" ht="15" hidden="false" customHeight="false" outlineLevel="0" collapsed="false">
      <c r="B8" s="17" t="str">
        <f aca="false">'KPI Tracking'!B8</f>
        <v>Daily Active Users</v>
      </c>
      <c r="C8" s="23" t="n">
        <f aca="false">'KPI Tracking'!D8</f>
        <v>11400</v>
      </c>
      <c r="D8" s="23" t="n">
        <f aca="false">'KPI Tracking'!G8</f>
        <v>12600</v>
      </c>
      <c r="E8" s="20" t="n">
        <f aca="false">(D8-C8)/C8</f>
        <v>0.105263157894737</v>
      </c>
      <c r="F8" s="17" t="s">
        <v>82</v>
      </c>
    </row>
    <row r="9" customFormat="false" ht="15" hidden="false" customHeight="false" outlineLevel="0" collapsed="false">
      <c r="B9" s="17" t="str">
        <f aca="false">'KPI Tracking'!B9</f>
        <v>Support Tickets (checkout)</v>
      </c>
      <c r="C9" s="21" t="n">
        <f aca="false">'KPI Tracking'!D9</f>
        <v>58</v>
      </c>
      <c r="D9" s="21" t="n">
        <f aca="false">'KPI Tracking'!G9</f>
        <v>38</v>
      </c>
      <c r="E9" s="20" t="n">
        <f aca="false">(D9-C9)/C9</f>
        <v>-0.344827586206897</v>
      </c>
      <c r="F9" s="17" t="s">
        <v>83</v>
      </c>
    </row>
  </sheetData>
  <conditionalFormatting sqref="E5:E9">
    <cfRule type="cellIs" priority="2" operator="greaterThanOrEqual" aboveAverage="0" equalAverage="0" bottom="0" percent="0" rank="0" text="" dxfId="4">
      <formula>0</formula>
    </cfRule>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22.05" hidden="false" customHeight="false" outlineLevel="0" collapsed="false">
      <c r="B2" s="12" t="s">
        <v>84</v>
      </c>
    </row>
    <row r="3" customFormat="false" ht="15" hidden="false" customHeight="false" outlineLevel="0" collapsed="false">
      <c r="B3" s="24" t="s">
        <v>85</v>
      </c>
    </row>
    <row r="25" customFormat="false" ht="15" hidden="false" customHeight="false" outlineLevel="0" collapsed="false">
      <c r="B25" s="4" t="s">
        <v>86</v>
      </c>
    </row>
    <row r="27" customFormat="false" ht="15" hidden="false" customHeight="false" outlineLevel="0" collapsed="false">
      <c r="B27" s="25" t="s">
        <v>62</v>
      </c>
      <c r="C27" s="25" t="s">
        <v>64</v>
      </c>
      <c r="D27" s="25" t="s">
        <v>65</v>
      </c>
      <c r="E27" s="25" t="s">
        <v>66</v>
      </c>
      <c r="F27" s="25" t="s">
        <v>67</v>
      </c>
    </row>
    <row r="28" customFormat="false" ht="15" hidden="false" customHeight="false" outlineLevel="0" collapsed="false">
      <c r="B28" s="17" t="str">
        <f aca="false">'KPI Tracking'!B5</f>
        <v>Conversion Rate (%)</v>
      </c>
      <c r="C28" s="19" t="n">
        <f aca="false">'KPI Tracking'!D5/'KPI Tracking'!D5*100</f>
        <v>100</v>
      </c>
      <c r="D28" s="19" t="n">
        <f aca="false">'KPI Tracking'!E5/'KPI Tracking'!D5*100</f>
        <v>107.894736842105</v>
      </c>
      <c r="E28" s="19" t="n">
        <f aca="false">'KPI Tracking'!F5/'KPI Tracking'!D5*100</f>
        <v>115.789473684211</v>
      </c>
      <c r="F28" s="19" t="n">
        <f aca="false">'KPI Tracking'!G5/'KPI Tracking'!D5*100</f>
        <v>123.684210526316</v>
      </c>
    </row>
    <row r="29" customFormat="false" ht="15" hidden="false" customHeight="false" outlineLevel="0" collapsed="false">
      <c r="B29" s="17" t="str">
        <f aca="false">'KPI Tracking'!B6</f>
        <v>Cart Abandonment (%)</v>
      </c>
      <c r="C29" s="19" t="n">
        <f aca="false">'KPI Tracking'!D6/'KPI Tracking'!D6*100</f>
        <v>100</v>
      </c>
      <c r="D29" s="19" t="n">
        <f aca="false">'KPI Tracking'!E6/'KPI Tracking'!D6*100</f>
        <v>95.5882352941177</v>
      </c>
      <c r="E29" s="19" t="n">
        <f aca="false">'KPI Tracking'!F6/'KPI Tracking'!D6*100</f>
        <v>92.6470588235294</v>
      </c>
      <c r="F29" s="19" t="n">
        <f aca="false">'KPI Tracking'!G6/'KPI Tracking'!D6*100</f>
        <v>89.7058823529412</v>
      </c>
    </row>
    <row r="30" customFormat="false" ht="15" hidden="false" customHeight="false" outlineLevel="0" collapsed="false">
      <c r="B30" s="17" t="str">
        <f aca="false">'KPI Tracking'!B7</f>
        <v>Revenue per Visitor ($)</v>
      </c>
      <c r="C30" s="19" t="n">
        <f aca="false">'KPI Tracking'!D7/'KPI Tracking'!D7*100</f>
        <v>100</v>
      </c>
      <c r="D30" s="19" t="n">
        <f aca="false">'KPI Tracking'!E7/'KPI Tracking'!D7*100</f>
        <v>107.017543859649</v>
      </c>
      <c r="E30" s="19" t="n">
        <f aca="false">'KPI Tracking'!F7/'KPI Tracking'!D7*100</f>
        <v>110.526315789474</v>
      </c>
      <c r="F30" s="19" t="n">
        <f aca="false">'KPI Tracking'!G7/'KPI Tracking'!D7*100</f>
        <v>117.543859649123</v>
      </c>
    </row>
    <row r="31" customFormat="false" ht="15" hidden="false" customHeight="false" outlineLevel="0" collapsed="false">
      <c r="B31" s="17" t="str">
        <f aca="false">'KPI Tracking'!B8</f>
        <v>Daily Active Users</v>
      </c>
      <c r="C31" s="19" t="n">
        <f aca="false">'KPI Tracking'!D8/'KPI Tracking'!D8*100</f>
        <v>100</v>
      </c>
      <c r="D31" s="19" t="n">
        <f aca="false">'KPI Tracking'!E8/'KPI Tracking'!D8*100</f>
        <v>103.508771929825</v>
      </c>
      <c r="E31" s="19" t="n">
        <f aca="false">'KPI Tracking'!F8/'KPI Tracking'!D8*100</f>
        <v>106.140350877193</v>
      </c>
      <c r="F31" s="19" t="n">
        <f aca="false">'KPI Tracking'!G8/'KPI Tracking'!D8*100</f>
        <v>110.526315789474</v>
      </c>
    </row>
    <row r="32" customFormat="false" ht="15" hidden="false" customHeight="false" outlineLevel="0" collapsed="false">
      <c r="B32" s="17" t="str">
        <f aca="false">'KPI Tracking'!B9</f>
        <v>Support Tickets (checkout)</v>
      </c>
      <c r="C32" s="19" t="n">
        <f aca="false">'KPI Tracking'!D9/'KPI Tracking'!D9*100</f>
        <v>100</v>
      </c>
      <c r="D32" s="19" t="n">
        <f aca="false">'KPI Tracking'!E9/'KPI Tracking'!D9*100</f>
        <v>87.9310344827586</v>
      </c>
      <c r="E32" s="19" t="n">
        <f aca="false">'KPI Tracking'!F9/'KPI Tracking'!D9*100</f>
        <v>75.8620689655172</v>
      </c>
      <c r="F32" s="19" t="n">
        <f aca="false">'KPI Tracking'!G9/'KPI Tracking'!D9*100</f>
        <v>65.5172413793104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6"/>
    <col collapsed="false" customWidth="true" hidden="false" outlineLevel="0" max="3" min="3" style="0" width="40"/>
    <col collapsed="false" customWidth="true" hidden="false" outlineLevel="0" max="4" min="4" style="0" width="16"/>
  </cols>
  <sheetData>
    <row r="2" customFormat="false" ht="22.05" hidden="false" customHeight="false" outlineLevel="0" collapsed="false">
      <c r="B2" s="12" t="s">
        <v>87</v>
      </c>
    </row>
    <row r="4" customFormat="false" ht="30" hidden="false" customHeight="true" outlineLevel="0" collapsed="false">
      <c r="B4" s="16" t="s">
        <v>88</v>
      </c>
      <c r="C4" s="16" t="s">
        <v>89</v>
      </c>
      <c r="D4" s="16" t="s">
        <v>90</v>
      </c>
    </row>
    <row r="5" customFormat="false" ht="45.75" hidden="false" customHeight="true" outlineLevel="0" collapsed="false">
      <c r="B5" s="26" t="s">
        <v>91</v>
      </c>
      <c r="C5" s="26" t="s">
        <v>92</v>
      </c>
      <c r="D5" s="17" t="s">
        <v>93</v>
      </c>
    </row>
    <row r="6" customFormat="false" ht="45.75" hidden="false" customHeight="true" outlineLevel="0" collapsed="false">
      <c r="B6" s="26" t="s">
        <v>94</v>
      </c>
      <c r="C6" s="26" t="s">
        <v>95</v>
      </c>
      <c r="D6" s="17" t="s">
        <v>96</v>
      </c>
    </row>
    <row r="7" customFormat="false" ht="45.75" hidden="false" customHeight="true" outlineLevel="0" collapsed="false">
      <c r="B7" s="26" t="s">
        <v>97</v>
      </c>
      <c r="C7" s="26" t="s">
        <v>98</v>
      </c>
      <c r="D7" s="17" t="s">
        <v>96</v>
      </c>
    </row>
  </sheetData>
  <dataValidations count="1">
    <dataValidation allowBlank="true" errorStyle="stop" operator="between" showDropDown="false" showErrorMessage="false" showInputMessage="false" sqref="D5:D20"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0"/>
    <col collapsed="false" customWidth="true" hidden="false" outlineLevel="0" max="4" min="3" style="0" width="14"/>
    <col collapsed="false" customWidth="true" hidden="false" outlineLevel="0" max="5" min="5" style="0" width="12"/>
    <col collapsed="false" customWidth="true" hidden="false" outlineLevel="0" max="6" min="6" style="0" width="36"/>
  </cols>
  <sheetData>
    <row r="2" customFormat="false" ht="22.05" hidden="false" customHeight="false" outlineLevel="0" collapsed="false">
      <c r="B2" s="12" t="s">
        <v>99</v>
      </c>
    </row>
    <row r="4" customFormat="false" ht="30" hidden="false" customHeight="true" outlineLevel="0" collapsed="false">
      <c r="B4" s="16" t="s">
        <v>100</v>
      </c>
      <c r="C4" s="16" t="s">
        <v>101</v>
      </c>
      <c r="D4" s="16" t="s">
        <v>90</v>
      </c>
      <c r="E4" s="16" t="s">
        <v>102</v>
      </c>
      <c r="F4" s="16" t="s">
        <v>103</v>
      </c>
    </row>
    <row r="5" customFormat="false" ht="39.75" hidden="false" customHeight="true" outlineLevel="0" collapsed="false">
      <c r="B5" s="26" t="s">
        <v>104</v>
      </c>
      <c r="C5" s="17" t="s">
        <v>96</v>
      </c>
      <c r="D5" s="17" t="s">
        <v>96</v>
      </c>
      <c r="E5" s="17" t="n">
        <f aca="false">IF(C5="Low",1,IF(C5="Medium",2,3))*IF(D5="Low",1,IF(D5="Medium",2,3))</f>
        <v>4</v>
      </c>
      <c r="F5" s="26" t="s">
        <v>105</v>
      </c>
    </row>
    <row r="6" customFormat="false" ht="39.75" hidden="false" customHeight="true" outlineLevel="0" collapsed="false">
      <c r="B6" s="26" t="s">
        <v>106</v>
      </c>
      <c r="C6" s="17" t="s">
        <v>107</v>
      </c>
      <c r="D6" s="17" t="s">
        <v>93</v>
      </c>
      <c r="E6" s="17" t="n">
        <f aca="false">IF(C6="Low",1,IF(C6="Medium",2,3))*IF(D6="Low",1,IF(D6="Medium",2,3))</f>
        <v>3</v>
      </c>
      <c r="F6" s="26" t="s">
        <v>108</v>
      </c>
    </row>
    <row r="7" customFormat="false" ht="39.75" hidden="false" customHeight="true" outlineLevel="0" collapsed="false">
      <c r="B7" s="26" t="s">
        <v>109</v>
      </c>
      <c r="C7" s="17" t="s">
        <v>96</v>
      </c>
      <c r="D7" s="17" t="s">
        <v>107</v>
      </c>
      <c r="E7" s="17" t="n">
        <f aca="false">IF(C7="Low",1,IF(C7="Medium",2,3))*IF(D7="Low",1,IF(D7="Medium",2,3))</f>
        <v>2</v>
      </c>
      <c r="F7" s="26" t="s">
        <v>110</v>
      </c>
    </row>
  </sheetData>
  <conditionalFormatting sqref="E5:E20">
    <cfRule type="colorScale" priority="2">
      <colorScale>
        <cfvo type="min" val="0"/>
        <cfvo type="percentile" val="50"/>
        <cfvo type="max" val="0"/>
        <color rgb="FFC0DD97"/>
        <color rgb="FFFAC775"/>
        <color rgb="FFF7C1C1"/>
      </colorScale>
    </cfRule>
  </conditionalFormatting>
  <dataValidations count="2">
    <dataValidation allowBlank="true" errorStyle="stop" operator="between" showDropDown="false" showErrorMessage="false" showInputMessage="false" sqref="C5:C20" type="list">
      <formula1>"Low,Medium,High"</formula1>
      <formula2>0</formula2>
    </dataValidation>
    <dataValidation allowBlank="true" errorStyle="stop" operator="between" showDropDown="false" showErrorMessage="false" showInputMessage="false" sqref="D5:D20" type="list">
      <formula1>"Low,Medium,High"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40"/>
    <col collapsed="false" customWidth="true" hidden="false" outlineLevel="0" max="3" min="3" style="0" width="16"/>
    <col collapsed="false" customWidth="true" hidden="false" outlineLevel="0" max="4" min="4" style="0" width="14"/>
    <col collapsed="false" customWidth="true" hidden="false" outlineLevel="0" max="5" min="5" style="0" width="16"/>
  </cols>
  <sheetData>
    <row r="2" customFormat="false" ht="22.05" hidden="false" customHeight="false" outlineLevel="0" collapsed="false">
      <c r="B2" s="12" t="s">
        <v>111</v>
      </c>
    </row>
    <row r="4" customFormat="false" ht="30" hidden="false" customHeight="true" outlineLevel="0" collapsed="false">
      <c r="B4" s="16" t="s">
        <v>112</v>
      </c>
      <c r="C4" s="16" t="s">
        <v>32</v>
      </c>
      <c r="D4" s="16" t="s">
        <v>113</v>
      </c>
      <c r="E4" s="16" t="s">
        <v>41</v>
      </c>
    </row>
    <row r="5" customFormat="false" ht="31.5" hidden="false" customHeight="true" outlineLevel="0" collapsed="false">
      <c r="B5" s="26" t="s">
        <v>114</v>
      </c>
      <c r="C5" s="17" t="s">
        <v>49</v>
      </c>
      <c r="D5" s="17" t="s">
        <v>93</v>
      </c>
      <c r="E5" s="17" t="s">
        <v>42</v>
      </c>
    </row>
    <row r="6" customFormat="false" ht="31.5" hidden="false" customHeight="true" outlineLevel="0" collapsed="false">
      <c r="B6" s="26" t="s">
        <v>115</v>
      </c>
      <c r="C6" s="17" t="s">
        <v>116</v>
      </c>
      <c r="D6" s="17" t="s">
        <v>93</v>
      </c>
      <c r="E6" s="17" t="s">
        <v>60</v>
      </c>
    </row>
    <row r="7" customFormat="false" ht="31.5" hidden="false" customHeight="true" outlineLevel="0" collapsed="false">
      <c r="B7" s="26" t="s">
        <v>117</v>
      </c>
      <c r="C7" s="17" t="s">
        <v>59</v>
      </c>
      <c r="D7" s="17" t="s">
        <v>96</v>
      </c>
      <c r="E7" s="17" t="s">
        <v>60</v>
      </c>
    </row>
    <row r="8" customFormat="false" ht="31.5" hidden="false" customHeight="true" outlineLevel="0" collapsed="false">
      <c r="B8" s="26" t="s">
        <v>118</v>
      </c>
      <c r="C8" s="17" t="s">
        <v>52</v>
      </c>
      <c r="D8" s="17" t="s">
        <v>96</v>
      </c>
      <c r="E8" s="17" t="s">
        <v>60</v>
      </c>
    </row>
  </sheetData>
  <conditionalFormatting sqref="E5:E20">
    <cfRule type="expression" priority="2" aboveAverage="0" equalAverage="0" bottom="0" percent="0" rank="0" text="" dxfId="0">
      <formula>$E5="Done"</formula>
    </cfRule>
    <cfRule type="expression" priority="3" aboveAverage="0" equalAverage="0" bottom="0" percent="0" rank="0" text="" dxfId="1">
      <formula>$E5="In Progress"</formula>
    </cfRule>
    <cfRule type="expression" priority="4" aboveAverage="0" equalAverage="0" bottom="0" percent="0" rank="0" text="" dxfId="2">
      <formula>$E5="Not Started"</formula>
    </cfRule>
  </conditionalFormatting>
  <dataValidations count="2">
    <dataValidation allowBlank="true" errorStyle="stop" operator="between" showDropDown="false" showErrorMessage="false" showInputMessage="false" sqref="D5:D20" type="list">
      <formula1>"High,Medium,Low"</formula1>
      <formula2>0</formula2>
    </dataValidation>
    <dataValidation allowBlank="true" errorStyle="stop" operator="between" showDropDown="false" showErrorMessage="false" showInputMessage="false" sqref="E5:E20"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6" min="2" style="0" width="20"/>
    <col collapsed="false" customWidth="true" hidden="false" outlineLevel="0" max="7" min="7" style="0" width="3"/>
  </cols>
  <sheetData>
    <row r="2" customFormat="false" ht="26.8" hidden="false" customHeight="false" outlineLevel="0" collapsed="false">
      <c r="B2" s="27" t="s">
        <v>119</v>
      </c>
      <c r="C2" s="27"/>
      <c r="D2" s="27"/>
      <c r="E2" s="27"/>
      <c r="F2" s="27"/>
    </row>
    <row r="3" customFormat="false" ht="15" hidden="false" customHeight="false" outlineLevel="0" collapsed="false">
      <c r="B3" s="28" t="str">
        <f aca="false">'Project Details'!C4&amp;" — analyzed "&amp;TEXT('Project Details'!C5,"mmm d, yyyy")</f>
        <v>New checkout flow experiment — analyzed Dec 30, 1899</v>
      </c>
      <c r="C3" s="28"/>
      <c r="D3" s="28"/>
      <c r="E3" s="28"/>
      <c r="F3" s="28"/>
    </row>
    <row r="5" customFormat="false" ht="15" hidden="false" customHeight="false" outlineLevel="0" collapsed="false">
      <c r="B5" s="29" t="s">
        <v>120</v>
      </c>
      <c r="C5" s="29" t="s">
        <v>121</v>
      </c>
      <c r="D5" s="29" t="s">
        <v>122</v>
      </c>
      <c r="E5" s="29" t="s">
        <v>72</v>
      </c>
    </row>
    <row r="6" customFormat="false" ht="31.5" hidden="false" customHeight="true" outlineLevel="0" collapsed="false">
      <c r="B6" s="30" t="n">
        <f aca="false">'Before vs After'!E5</f>
        <v>0.236842105263158</v>
      </c>
      <c r="C6" s="30" t="n">
        <f aca="false">'Before vs After'!E6</f>
        <v>-0.102941176470588</v>
      </c>
      <c r="D6" s="30" t="n">
        <f aca="false">'Before vs After'!E7</f>
        <v>0.175438596491228</v>
      </c>
      <c r="E6" s="30" t="n">
        <f aca="false">'Before vs After'!E8</f>
        <v>0.105263157894737</v>
      </c>
    </row>
    <row r="9" customFormat="false" ht="15" hidden="false" customHeight="false" outlineLevel="0" collapsed="false">
      <c r="B9" s="4" t="s">
        <v>123</v>
      </c>
    </row>
    <row r="10" customFormat="false" ht="30" hidden="false" customHeight="true" outlineLevel="0" collapsed="false">
      <c r="B10" s="31" t="str">
        <f aca="false">Insights!B5</f>
        <v>Shorter checkout converts better, but only after the second week</v>
      </c>
      <c r="C10" s="31"/>
      <c r="D10" s="31"/>
      <c r="E10" s="31"/>
      <c r="F10" s="31"/>
    </row>
    <row r="12" customFormat="false" ht="15" hidden="false" customHeight="false" outlineLevel="0" collapsed="false">
      <c r="B12" s="4" t="s">
        <v>124</v>
      </c>
    </row>
    <row r="13" customFormat="false" ht="30" hidden="false" customHeight="true" outlineLevel="0" collapsed="false">
      <c r="B13" s="32" t="str">
        <f aca="false">INDEX(Risks!B5:B7,MATCH(MAX(Risks!E5:E7),Risks!E5:E7,0))</f>
        <v>Full rollout repeats the Week 1 support spike</v>
      </c>
      <c r="C13" s="32"/>
      <c r="D13" s="32"/>
      <c r="E13" s="32"/>
      <c r="F13" s="32"/>
    </row>
    <row r="15" customFormat="false" ht="15" hidden="false" customHeight="false" outlineLevel="0" collapsed="false">
      <c r="B15" s="4" t="s">
        <v>125</v>
      </c>
    </row>
    <row r="16" customFormat="false" ht="30" hidden="false" customHeight="true" outlineLevel="0" collapsed="false">
      <c r="B16" s="31" t="str">
        <f aca="false">Recommendations!B5</f>
        <v>Proceed to 100% rollout</v>
      </c>
      <c r="C16" s="31"/>
      <c r="D16" s="31"/>
      <c r="E16" s="31"/>
      <c r="F16" s="31"/>
    </row>
    <row r="18" customFormat="false" ht="15" hidden="false" customHeight="false" outlineLevel="0" collapsed="false">
      <c r="B18" s="4" t="s">
        <v>126</v>
      </c>
    </row>
    <row r="19" customFormat="false" ht="15" hidden="false" customHeight="true" outlineLevel="0" collapsed="false">
      <c r="B19" s="33" t="s">
        <v>127</v>
      </c>
      <c r="C19" s="33"/>
      <c r="D19" s="33"/>
      <c r="E19" s="33"/>
      <c r="F19" s="33"/>
    </row>
    <row r="20" customFormat="false" ht="15" hidden="false" customHeight="false" outlineLevel="0" collapsed="false">
      <c r="B20" s="33"/>
      <c r="C20" s="33"/>
      <c r="D20" s="33"/>
      <c r="E20" s="33"/>
      <c r="F20" s="33"/>
    </row>
    <row r="21" customFormat="false" ht="15" hidden="false" customHeight="false" outlineLevel="0" collapsed="false">
      <c r="B21" s="33"/>
      <c r="C21" s="33"/>
      <c r="D21" s="33"/>
      <c r="E21" s="33"/>
      <c r="F21" s="33"/>
    </row>
  </sheetData>
  <mergeCells count="6">
    <mergeCell ref="B2:F2"/>
    <mergeCell ref="B3:F3"/>
    <mergeCell ref="B10:F10"/>
    <mergeCell ref="B13:F13"/>
    <mergeCell ref="B16:F16"/>
    <mergeCell ref="B19: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0"/>
  </cols>
  <sheetData>
    <row r="2" customFormat="false" ht="22.05" hidden="false" customHeight="false" outlineLevel="0" collapsed="false">
      <c r="B2" s="12" t="s">
        <v>128</v>
      </c>
    </row>
    <row r="3" customFormat="false" ht="15" hidden="false" customHeight="false" outlineLevel="0" collapsed="false">
      <c r="B3" s="24" t="s">
        <v>129</v>
      </c>
    </row>
    <row r="5" customFormat="false" ht="16.15" hidden="false" customHeight="false" outlineLevel="0" collapsed="false">
      <c r="B5" s="10" t="s">
        <v>130</v>
      </c>
    </row>
    <row r="6" customFormat="false" ht="15" hidden="false" customHeight="false" outlineLevel="0" collapsed="false">
      <c r="B6" s="34" t="s">
        <v>131</v>
      </c>
    </row>
    <row r="7" customFormat="false" ht="49.5" hidden="false" customHeight="true" outlineLevel="0" collapsed="false">
      <c r="B7" s="35" t="s">
        <v>132</v>
      </c>
    </row>
    <row r="9" customFormat="false" ht="16.15" hidden="false" customHeight="false" outlineLevel="0" collapsed="false">
      <c r="B9" s="10" t="s">
        <v>133</v>
      </c>
    </row>
    <row r="10" customFormat="false" ht="15" hidden="false" customHeight="false" outlineLevel="0" collapsed="false">
      <c r="B10" s="34" t="s">
        <v>134</v>
      </c>
    </row>
    <row r="11" customFormat="false" ht="49.5" hidden="false" customHeight="true" outlineLevel="0" collapsed="false">
      <c r="B11" s="35" t="s">
        <v>135</v>
      </c>
    </row>
    <row r="13" customFormat="false" ht="16.15" hidden="false" customHeight="false" outlineLevel="0" collapsed="false">
      <c r="B13" s="10" t="s">
        <v>136</v>
      </c>
    </row>
    <row r="14" customFormat="false" ht="15" hidden="false" customHeight="false" outlineLevel="0" collapsed="false">
      <c r="B14" s="34" t="s">
        <v>137</v>
      </c>
    </row>
    <row r="15" customFormat="false" ht="49.5" hidden="false" customHeight="true" outlineLevel="0" collapsed="false">
      <c r="B15" s="35" t="s">
        <v>138</v>
      </c>
    </row>
    <row r="17" customFormat="false" ht="16.15" hidden="false" customHeight="false" outlineLevel="0" collapsed="false">
      <c r="B17" s="10" t="s">
        <v>139</v>
      </c>
    </row>
    <row r="18" customFormat="false" ht="15" hidden="false" customHeight="false" outlineLevel="0" collapsed="false">
      <c r="B18" s="34" t="s">
        <v>140</v>
      </c>
    </row>
    <row r="19" customFormat="false" ht="49.5" hidden="false" customHeight="true" outlineLevel="0" collapsed="false">
      <c r="B19" s="35" t="s">
        <v>141</v>
      </c>
    </row>
    <row r="21" customFormat="false" ht="16.15" hidden="false" customHeight="false" outlineLevel="0" collapsed="false">
      <c r="B21" s="10" t="s">
        <v>142</v>
      </c>
    </row>
    <row r="22" customFormat="false" ht="15" hidden="false" customHeight="false" outlineLevel="0" collapsed="false">
      <c r="B22" s="34" t="s">
        <v>143</v>
      </c>
    </row>
    <row r="23" customFormat="false" ht="49.5" hidden="false" customHeight="true" outlineLevel="0" collapsed="false">
      <c r="B23" s="35"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2026-07-10T07:41:12Z</dcterms:created>
  <dc:creator>openpyxl</dc:creator>
  <dc:description/>
  <dc:language>en-US</dc:language>
  <cp:lastModifiedBy/>
  <dcterms:modified xsi:type="dcterms:W3CDTF">2026-07-10T13:26:13Z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