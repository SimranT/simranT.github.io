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Keywords" sheetId="2" state="visible" r:id="rId4"/>
    <sheet name="Transactions" sheetId="3" state="visible" r:id="rId5"/>
    <sheet name="Category Breakdown" sheetId="4" state="hidden" r:id="rId6"/>
    <sheet name="Monthly Summary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<sst xmlns="http://schemas.openxmlformats.org/spreadsheetml/2006/main" count="204" uniqueCount="110">
  <si>
    <t xml:space="preserve">Personal Budget Tracker</t>
  </si>
  <si>
    <t xml:space="preserve">Monthly income vs. expense tracker with keyword auto-categorization and a savings-rate dashboard.</t>
  </si>
  <si>
    <t xml:space="preserve">How to use this workbook</t>
  </si>
  <si>
    <t xml:space="preserve">1. Transactions</t>
  </si>
  <si>
    <t xml:space="preserve">Log every transaction on the Transactions tab: date, description, amount, and whether it's income or an expense. Type a description and the Suggested Category column will auto-guess a category by matching keywords (e.g. "starbucks" -&gt; Dining). Use the Category dropdown to confirm or override it.</t>
  </si>
  <si>
    <t xml:space="preserve">2. Keywords</t>
  </si>
  <si>
    <t xml:space="preserve">This is the lookup table powering auto-categorization. Add your own recurring merchants and their category so future transactions categorize themselves automatically.</t>
  </si>
  <si>
    <t xml:space="preserve">3. Monthly Summary</t>
  </si>
  <si>
    <t xml:space="preserve">Every month rolls up automatically from your Transactions using SUMIFS formulas — nothing to copy or recalculate by hand. Add a new month by adding a row and copying the formulas down.</t>
  </si>
  <si>
    <t xml:space="preserve">4. Dashboard</t>
  </si>
  <si>
    <t xml:space="preserve">Scorecards, a savings-rate trend, and a spending-by-category breakdown — all driven live from your data. Everything recalculates the moment you add a new transaction.</t>
  </si>
  <si>
    <t xml:space="preserve">Notes</t>
  </si>
  <si>
    <t xml:space="preserve">- All example rows are placeholders. Delete them and start logging your own transactions.</t>
  </si>
  <si>
    <t xml:space="preserve">- Categories live in the Keywords tab — add rows there any time, no formulas to touch.</t>
  </si>
  <si>
    <t xml:space="preserve">- Every number on the Dashboard is a formula, not a typed-in value. Change any transaction and it flows through automatically.</t>
  </si>
  <si>
    <t xml:space="preserve">Built by Simran Tiwari — simrant.github.io</t>
  </si>
  <si>
    <t xml:space="preserve">Keyword (lowercase, partial match)</t>
  </si>
  <si>
    <t xml:space="preserve">Category</t>
  </si>
  <si>
    <t xml:space="preserve">starbucks</t>
  </si>
  <si>
    <t xml:space="preserve">Dining</t>
  </si>
  <si>
    <t xml:space="preserve">coffee</t>
  </si>
  <si>
    <t xml:space="preserve">restaurant</t>
  </si>
  <si>
    <t xml:space="preserve">doordash</t>
  </si>
  <si>
    <t xml:space="preserve">ubereats</t>
  </si>
  <si>
    <t xml:space="preserve">mcdonald</t>
  </si>
  <si>
    <t xml:space="preserve">grocery</t>
  </si>
  <si>
    <t xml:space="preserve">Groceries</t>
  </si>
  <si>
    <t xml:space="preserve">trader joe</t>
  </si>
  <si>
    <t xml:space="preserve">whole foods</t>
  </si>
  <si>
    <t xml:space="preserve">safeway</t>
  </si>
  <si>
    <t xml:space="preserve">uber</t>
  </si>
  <si>
    <t xml:space="preserve">Transport</t>
  </si>
  <si>
    <t xml:space="preserve">lyft</t>
  </si>
  <si>
    <t xml:space="preserve">gas station</t>
  </si>
  <si>
    <t xml:space="preserve">shell</t>
  </si>
  <si>
    <t xml:space="preserve">chevron</t>
  </si>
  <si>
    <t xml:space="preserve">parking</t>
  </si>
  <si>
    <t xml:space="preserve">rent</t>
  </si>
  <si>
    <t xml:space="preserve">Housing</t>
  </si>
  <si>
    <t xml:space="preserve">mortgage</t>
  </si>
  <si>
    <t xml:space="preserve">electric</t>
  </si>
  <si>
    <t xml:space="preserve">Utilities</t>
  </si>
  <si>
    <t xml:space="preserve">water bill</t>
  </si>
  <si>
    <t xml:space="preserve">internet</t>
  </si>
  <si>
    <t xml:space="preserve">phone bill</t>
  </si>
  <si>
    <t xml:space="preserve">netflix</t>
  </si>
  <si>
    <t xml:space="preserve">Subscriptions</t>
  </si>
  <si>
    <t xml:space="preserve">spotify</t>
  </si>
  <si>
    <t xml:space="preserve">amazon prime</t>
  </si>
  <si>
    <t xml:space="preserve">gym</t>
  </si>
  <si>
    <t xml:space="preserve">Health &amp; Fitness</t>
  </si>
  <si>
    <t xml:space="preserve">pharmacy</t>
  </si>
  <si>
    <t xml:space="preserve">doctor</t>
  </si>
  <si>
    <t xml:space="preserve">amazon</t>
  </si>
  <si>
    <t xml:space="preserve">Shopping</t>
  </si>
  <si>
    <t xml:space="preserve">target</t>
  </si>
  <si>
    <t xml:space="preserve">nordstrom</t>
  </si>
  <si>
    <t xml:space="preserve">airbnb</t>
  </si>
  <si>
    <t xml:space="preserve">Travel</t>
  </si>
  <si>
    <t xml:space="preserve">flight</t>
  </si>
  <si>
    <t xml:space="preserve">hotel</t>
  </si>
  <si>
    <t xml:space="preserve">payroll</t>
  </si>
  <si>
    <t xml:space="preserve">Income</t>
  </si>
  <si>
    <t xml:space="preserve">salary</t>
  </si>
  <si>
    <t xml:space="preserve">paycheck</t>
  </si>
  <si>
    <t xml:space="preserve">freelance</t>
  </si>
  <si>
    <t xml:space="preserve">interest</t>
  </si>
  <si>
    <t xml:space="preserve">transfer to savings</t>
  </si>
  <si>
    <t xml:space="preserve">Savings</t>
  </si>
  <si>
    <t xml:space="preserve">Date</t>
  </si>
  <si>
    <t xml:space="preserve">Description</t>
  </si>
  <si>
    <t xml:space="preserve">Type</t>
  </si>
  <si>
    <t xml:space="preserve">Suggested Category</t>
  </si>
  <si>
    <t xml:space="preserve">Amount</t>
  </si>
  <si>
    <t xml:space="preserve">Payroll deposit</t>
  </si>
  <si>
    <t xml:space="preserve">Whole Foods grocery run</t>
  </si>
  <si>
    <t xml:space="preserve">Expense</t>
  </si>
  <si>
    <t xml:space="preserve">Starbucks coffee</t>
  </si>
  <si>
    <t xml:space="preserve">Rent payment</t>
  </si>
  <si>
    <t xml:space="preserve">Uber to airport</t>
  </si>
  <si>
    <t xml:space="preserve">Netflix subscription</t>
  </si>
  <si>
    <t xml:space="preserve">Gym membership</t>
  </si>
  <si>
    <t xml:space="preserve">Freelance project payment</t>
  </si>
  <si>
    <t xml:space="preserve">Amazon order</t>
  </si>
  <si>
    <t xml:space="preserve">Electric bill</t>
  </si>
  <si>
    <t xml:space="preserve">Transfer to savings</t>
  </si>
  <si>
    <t xml:space="preserve">Trader Joe's grocery run</t>
  </si>
  <si>
    <t xml:space="preserve">Safeway grocery run</t>
  </si>
  <si>
    <t xml:space="preserve">Lyft ride</t>
  </si>
  <si>
    <t xml:space="preserve">Spotify subscription</t>
  </si>
  <si>
    <t xml:space="preserve">Doctor visit copay</t>
  </si>
  <si>
    <t xml:space="preserve">Interest earned</t>
  </si>
  <si>
    <t xml:space="preserve">Jan 2026</t>
  </si>
  <si>
    <t xml:space="preserve">Feb 2026</t>
  </si>
  <si>
    <t xml:space="preserve">Month</t>
  </si>
  <si>
    <t xml:space="preserve">Total Income</t>
  </si>
  <si>
    <t xml:space="preserve">Total Expenses</t>
  </si>
  <si>
    <t xml:space="preserve">Net Savings</t>
  </si>
  <si>
    <t xml:space="preserve">Savings Rate %</t>
  </si>
  <si>
    <t xml:space="preserve">Top Category</t>
  </si>
  <si>
    <t xml:space="preserve">Start</t>
  </si>
  <si>
    <t xml:space="preserve">End</t>
  </si>
  <si>
    <t xml:space="preserve">Personal Budget Dashboard</t>
  </si>
  <si>
    <t xml:space="preserve">Live snapshot — every number below recalculates from the Transactions tab</t>
  </si>
  <si>
    <t xml:space="preserve">Total Income (YTD)</t>
  </si>
  <si>
    <t xml:space="preserve">Total Expenses (YTD)</t>
  </si>
  <si>
    <t xml:space="preserve">Net Savings (YTD)</t>
  </si>
  <si>
    <t xml:space="preserve">Avg Savings Rate</t>
  </si>
  <si>
    <t xml:space="preserve">Spending by category (YTD)</t>
  </si>
  <si>
    <t xml:space="preserve">Total Spent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</si>
</sst>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\$#,##0.00;&quot;($&quot;#,##0.00\)"/>
    <numFmt numFmtId="167" formatCode="\$#,##0"/>
    <numFmt numFmtId="168" formatCode="0.0%"/>
    <numFmt numFmtId="169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B4B"/>
      <name val="Calibri"/>
      <family val="0"/>
      <charset val="1"/>
    </font>
    <font>
      <sz val="12"/>
      <color rgb="FF6B7280"/>
      <name val="Calibri"/>
      <family val="0"/>
      <charset val="1"/>
    </font>
    <font>
      <b val="true"/>
      <sz val="14"/>
      <color rgb="FF1B2B4B"/>
      <name val="Calibri"/>
      <family val="0"/>
      <charset val="1"/>
    </font>
    <font>
      <b val="true"/>
      <sz val="12"/>
      <color rgb="FF222222"/>
      <name val="Calibri"/>
      <family val="0"/>
      <charset val="1"/>
    </font>
    <font>
      <sz val="11"/>
      <color rgb="FF333333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22"/>
      <color rgb="FF1B2B4B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8"/>
      <color rgb="FFD4A94F"/>
      <name val="Calibri"/>
      <family val="0"/>
      <charset val="1"/>
    </font>
    <font>
      <b val="true"/>
      <sz val="18"/>
      <color rgb="FF2E7D4F"/>
      <name val="Calibri"/>
      <family val="0"/>
      <charset val="1"/>
    </font>
    <font>
      <b val="true"/>
      <sz val="13"/>
      <color rgb="FF1B2B4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2B4B"/>
        <bgColor rgb="FF222222"/>
      </patternFill>
    </fill>
    <fill>
      <patternFill patternType="solid">
        <fgColor rgb="FFF4F1E9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392B"/>
      </font>
    </dxf>
    <dxf>
      <font>
        <color rgb="FF2E7D4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4F1E9"/>
      <rgbColor rgb="FFF9F9F9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A7EBB"/>
      <rgbColor rgb="FF4299B0"/>
      <rgbColor rgb="FF99CC00"/>
      <rgbColor rgb="FFFFCC00"/>
      <rgbColor rgb="FFD4A94F"/>
      <rgbColor rgb="FFFF6600"/>
      <rgbColor rgb="FF725990"/>
      <rgbColor rgb="FFA99BBD"/>
      <rgbColor rgb="FF1B2B4B"/>
      <rgbColor rgb="FF2E7D4F"/>
      <rgbColor rgb="FF003300"/>
      <rgbColor rgb="FF222222"/>
      <rgbColor rgb="FFC0392B"/>
      <rgbColor rgb="FFC0504D"/>
      <rgbColor rgb="FF6B72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Savings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Summary'!E1</c:f>
              <c:strCache>
                <c:ptCount val="1"/>
                <c:pt idx="0">
                  <c:v>Savings Rate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Summary'!$A$2:$A$3</c:f>
              <c:strCache>
                <c:ptCount val="2"/>
                <c:pt idx="0">
                  <c:v/>
                </c:pt>
                <c:pt idx="1">
                  <c:v/>
                </c:pt>
              </c:strCache>
            </c:strRef>
          </c:cat>
          <c:val>
            <c:numRef>
              <c:f>'Monthly Summary'!$E$2:$E$3</c:f>
              <c:numCache>
                <c:formatCode>0.0%</c:formatCode>
                <c:ptCount val="2"/>
                <c:pt idx="0">
                  <c:v>0.512572</c:v>
                </c:pt>
                <c:pt idx="1">
                  <c:v>0.479692804406144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767737"/>
        <c:axId val="33203203"/>
      </c:lineChart>
      <c:catAx>
        <c:axId val="767677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03203"/>
        <c:crosses val="autoZero"/>
        <c:auto val="1"/>
        <c:lblAlgn val="ctr"/>
        <c:lblOffset val="100"/>
        <c:noMultiLvlLbl val="0"/>
      </c:catAx>
      <c:valAx>
        <c:axId val="33203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677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Income vs.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Summary'!B1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Summary'!$A$2:$A$3</c:f>
              <c:strCache>
                <c:ptCount val="2"/>
                <c:pt idx="0">
                  <c:v/>
                </c:pt>
                <c:pt idx="1">
                  <c:v/>
                </c:pt>
              </c:strCache>
            </c:strRef>
          </c:cat>
          <c:val>
            <c:numRef>
              <c:f>'Monthly Summary'!$B$2:$B$3</c:f>
              <c:numCache>
                <c:formatCode>\$#,##0.00;"($"#,##0.00\)</c:formatCode>
                <c:ptCount val="2"/>
                <c:pt idx="0">
                  <c:v>5000</c:v>
                </c:pt>
                <c:pt idx="1">
                  <c:v>4212.3</c:v>
                </c:pt>
              </c:numCache>
            </c:numRef>
          </c:val>
        </c:ser>
        <c:ser>
          <c:idx val="1"/>
          <c:order val="1"/>
          <c:tx>
            <c:strRef>
              <c:f>'Monthly Summary'!C1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Summary'!$A$2:$A$3</c:f>
              <c:strCache>
                <c:ptCount val="2"/>
                <c:pt idx="0">
                  <c:v/>
                </c:pt>
                <c:pt idx="1">
                  <c:v/>
                </c:pt>
              </c:strCache>
            </c:strRef>
          </c:cat>
          <c:val>
            <c:numRef>
              <c:f>'Monthly Summary'!$C$2:$C$3</c:f>
              <c:numCache>
                <c:formatCode>\$#,##0.00;"($"#,##0.00\)</c:formatCode>
                <c:ptCount val="2"/>
                <c:pt idx="0">
                  <c:v>2437.14</c:v>
                </c:pt>
                <c:pt idx="1">
                  <c:v>2191.69</c:v>
                </c:pt>
              </c:numCache>
            </c:numRef>
          </c:val>
        </c:ser>
        <c:gapWidth val="150"/>
        <c:overlap val="0"/>
        <c:axId val="64141870"/>
        <c:axId val="52210823"/>
      </c:barChart>
      <c:catAx>
        <c:axId val="641418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10823"/>
        <c:crosses val="autoZero"/>
        <c:auto val="1"/>
        <c:lblAlgn val="ctr"/>
        <c:lblOffset val="100"/>
        <c:noMultiLvlLbl val="0"/>
      </c:catAx>
      <c:valAx>
        <c:axId val="52210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418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Dashboard!C27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Dashboard!$B$28:$B$37</c:f>
              <c:strCache>
                <c:ptCount val="10"/>
                <c:pt idx="0">
                  <c:v>Dining</c:v>
                </c:pt>
                <c:pt idx="1">
                  <c:v>Groceries</c:v>
                </c:pt>
                <c:pt idx="2">
                  <c:v>Health &amp; Fitness</c:v>
                </c:pt>
                <c:pt idx="3">
                  <c:v>Housing</c:v>
                </c:pt>
                <c:pt idx="4">
                  <c:v>Savings</c:v>
                </c:pt>
                <c:pt idx="5">
                  <c:v>Shopping</c:v>
                </c:pt>
                <c:pt idx="6">
                  <c:v>Subscriptions</c:v>
                </c:pt>
                <c:pt idx="7">
                  <c:v>Transport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Dashboard!$C$28:$C$37</c:f>
              <c:numCache>
                <c:formatCode>\$#,##0</c:formatCode>
                <c:ptCount val="10"/>
                <c:pt idx="0">
                  <c:v>6.75</c:v>
                </c:pt>
                <c:pt idx="1">
                  <c:v>216.5</c:v>
                </c:pt>
                <c:pt idx="2">
                  <c:v>89</c:v>
                </c:pt>
                <c:pt idx="3">
                  <c:v>3300</c:v>
                </c:pt>
                <c:pt idx="4">
                  <c:v>800</c:v>
                </c:pt>
                <c:pt idx="5">
                  <c:v>62.1</c:v>
                </c:pt>
                <c:pt idx="6">
                  <c:v>27.48</c:v>
                </c:pt>
                <c:pt idx="7">
                  <c:v>52.7</c:v>
                </c:pt>
                <c:pt idx="8">
                  <c:v>-0</c:v>
                </c:pt>
                <c:pt idx="9">
                  <c:v>74.3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5</xdr:col>
      <xdr:colOff>120600</xdr:colOff>
      <xdr:row>23</xdr:row>
      <xdr:rowOff>21960</xdr:rowOff>
    </xdr:to>
    <xdr:graphicFrame>
      <xdr:nvGraphicFramePr>
        <xdr:cNvPr id="1" name="Chart 1"/>
        <xdr:cNvGraphicFramePr/>
      </xdr:nvGraphicFramePr>
      <xdr:xfrm>
        <a:off x="211320" y="1981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16</xdr:col>
      <xdr:colOff>21960</xdr:colOff>
      <xdr:row>23</xdr:row>
      <xdr:rowOff>21960</xdr:rowOff>
    </xdr:to>
    <xdr:graphicFrame>
      <xdr:nvGraphicFramePr>
        <xdr:cNvPr id="2" name="Chart 2"/>
        <xdr:cNvGraphicFramePr/>
      </xdr:nvGraphicFramePr>
      <xdr:xfrm>
        <a:off x="5850360" y="1981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11</xdr:col>
      <xdr:colOff>229680</xdr:colOff>
      <xdr:row>41</xdr:row>
      <xdr:rowOff>177120</xdr:rowOff>
    </xdr:to>
    <xdr:graphicFrame>
      <xdr:nvGraphicFramePr>
        <xdr:cNvPr id="3" name="Chart 3"/>
        <xdr:cNvGraphicFramePr/>
      </xdr:nvGraphicFramePr>
      <xdr:xfrm>
        <a:off x="4440600" y="5219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30" hidden="false" customHeight="true" outlineLevel="0" collapsed="false">
      <c r="B2" s="1" t="s">
        <v>0</v>
      </c>
    </row>
    <row r="3" customFormat="false" ht="19.5" hidden="false" customHeight="true" outlineLevel="0" collapsed="false">
      <c r="B3" s="2" t="s">
        <v>1</v>
      </c>
    </row>
    <row r="5" customFormat="false" ht="17.3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</row>
    <row r="8" customFormat="false" ht="35.05" hidden="false" customHeight="false" outlineLevel="0" collapsed="false">
      <c r="B8" s="5" t="s">
        <v>4</v>
      </c>
    </row>
    <row r="10" customFormat="false" ht="15" hidden="false" customHeight="false" outlineLevel="0" collapsed="false">
      <c r="B10" s="4" t="s">
        <v>5</v>
      </c>
    </row>
    <row r="11" customFormat="false" ht="23.85" hidden="false" customHeight="false" outlineLevel="0" collapsed="false">
      <c r="B11" s="5" t="s">
        <v>6</v>
      </c>
    </row>
    <row r="13" customFormat="false" ht="15" hidden="false" customHeight="false" outlineLevel="0" collapsed="false">
      <c r="B13" s="4" t="s">
        <v>7</v>
      </c>
    </row>
    <row r="14" customFormat="false" ht="23.85" hidden="false" customHeight="false" outlineLevel="0" collapsed="false">
      <c r="B14" s="5" t="s">
        <v>8</v>
      </c>
    </row>
    <row r="16" customFormat="false" ht="15" hidden="false" customHeight="false" outlineLevel="0" collapsed="false">
      <c r="B16" s="4" t="s">
        <v>9</v>
      </c>
    </row>
    <row r="17" customFormat="false" ht="23.85" hidden="false" customHeight="false" outlineLevel="0" collapsed="false">
      <c r="B17" s="5" t="s">
        <v>10</v>
      </c>
    </row>
    <row r="19" customFormat="false" ht="17.35" hidden="false" customHeight="false" outlineLevel="0" collapsed="false">
      <c r="B19" s="3" t="s">
        <v>11</v>
      </c>
    </row>
    <row r="21" customFormat="false" ht="15" hidden="false" customHeight="false" outlineLevel="0" collapsed="false">
      <c r="B21" s="5" t="s">
        <v>12</v>
      </c>
    </row>
    <row r="22" customFormat="false" ht="15" hidden="false" customHeight="false" outlineLevel="0" collapsed="false">
      <c r="B22" s="5" t="s">
        <v>13</v>
      </c>
    </row>
    <row r="23" customFormat="false" ht="23.85" hidden="false" customHeight="false" outlineLevel="0" collapsed="false">
      <c r="B23" s="5" t="s">
        <v>14</v>
      </c>
    </row>
    <row r="25" customFormat="false" ht="15" hidden="false" customHeight="false" outlineLevel="0" collapsed="false">
      <c r="B25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21.75" hidden="false" customHeight="true" outlineLevel="0" collapsed="false">
      <c r="A1" s="7" t="s">
        <v>16</v>
      </c>
      <c r="B1" s="7" t="s">
        <v>17</v>
      </c>
    </row>
    <row r="2" customFormat="false" ht="15" hidden="false" customHeight="false" outlineLevel="0" collapsed="false">
      <c r="A2" s="8" t="s">
        <v>18</v>
      </c>
      <c r="B2" s="8" t="s">
        <v>19</v>
      </c>
    </row>
    <row r="3" customFormat="false" ht="15" hidden="false" customHeight="false" outlineLevel="0" collapsed="false">
      <c r="A3" s="8" t="s">
        <v>20</v>
      </c>
      <c r="B3" s="8" t="s">
        <v>19</v>
      </c>
    </row>
    <row r="4" customFormat="false" ht="15" hidden="false" customHeight="false" outlineLevel="0" collapsed="false">
      <c r="A4" s="8" t="s">
        <v>21</v>
      </c>
      <c r="B4" s="8" t="s">
        <v>19</v>
      </c>
    </row>
    <row r="5" customFormat="false" ht="15" hidden="false" customHeight="false" outlineLevel="0" collapsed="false">
      <c r="A5" s="8" t="s">
        <v>22</v>
      </c>
      <c r="B5" s="8" t="s">
        <v>19</v>
      </c>
    </row>
    <row r="6" customFormat="false" ht="15" hidden="false" customHeight="false" outlineLevel="0" collapsed="false">
      <c r="A6" s="8" t="s">
        <v>23</v>
      </c>
      <c r="B6" s="8" t="s">
        <v>19</v>
      </c>
    </row>
    <row r="7" customFormat="false" ht="15" hidden="false" customHeight="false" outlineLevel="0" collapsed="false">
      <c r="A7" s="8" t="s">
        <v>24</v>
      </c>
      <c r="B7" s="8" t="s">
        <v>19</v>
      </c>
    </row>
    <row r="8" customFormat="false" ht="15" hidden="false" customHeight="false" outlineLevel="0" collapsed="false">
      <c r="A8" s="8" t="s">
        <v>25</v>
      </c>
      <c r="B8" s="8" t="s">
        <v>26</v>
      </c>
    </row>
    <row r="9" customFormat="false" ht="15" hidden="false" customHeight="false" outlineLevel="0" collapsed="false">
      <c r="A9" s="8" t="s">
        <v>27</v>
      </c>
      <c r="B9" s="8" t="s">
        <v>26</v>
      </c>
    </row>
    <row r="10" customFormat="false" ht="15" hidden="false" customHeight="false" outlineLevel="0" collapsed="false">
      <c r="A10" s="8" t="s">
        <v>28</v>
      </c>
      <c r="B10" s="8" t="s">
        <v>26</v>
      </c>
    </row>
    <row r="11" customFormat="false" ht="15" hidden="false" customHeight="false" outlineLevel="0" collapsed="false">
      <c r="A11" s="8" t="s">
        <v>29</v>
      </c>
      <c r="B11" s="8" t="s">
        <v>26</v>
      </c>
    </row>
    <row r="12" customFormat="false" ht="15" hidden="false" customHeight="false" outlineLevel="0" collapsed="false">
      <c r="A12" s="8" t="s">
        <v>30</v>
      </c>
      <c r="B12" s="8" t="s">
        <v>31</v>
      </c>
    </row>
    <row r="13" customFormat="false" ht="15" hidden="false" customHeight="false" outlineLevel="0" collapsed="false">
      <c r="A13" s="8" t="s">
        <v>32</v>
      </c>
      <c r="B13" s="8" t="s">
        <v>31</v>
      </c>
    </row>
    <row r="14" customFormat="false" ht="15" hidden="false" customHeight="false" outlineLevel="0" collapsed="false">
      <c r="A14" s="8" t="s">
        <v>33</v>
      </c>
      <c r="B14" s="8" t="s">
        <v>31</v>
      </c>
    </row>
    <row r="15" customFormat="false" ht="15" hidden="false" customHeight="false" outlineLevel="0" collapsed="false">
      <c r="A15" s="8" t="s">
        <v>34</v>
      </c>
      <c r="B15" s="8" t="s">
        <v>31</v>
      </c>
    </row>
    <row r="16" customFormat="false" ht="15" hidden="false" customHeight="false" outlineLevel="0" collapsed="false">
      <c r="A16" s="8" t="s">
        <v>35</v>
      </c>
      <c r="B16" s="8" t="s">
        <v>31</v>
      </c>
    </row>
    <row r="17" customFormat="false" ht="15" hidden="false" customHeight="false" outlineLevel="0" collapsed="false">
      <c r="A17" s="8" t="s">
        <v>36</v>
      </c>
      <c r="B17" s="8" t="s">
        <v>31</v>
      </c>
    </row>
    <row r="18" customFormat="false" ht="15" hidden="false" customHeight="false" outlineLevel="0" collapsed="false">
      <c r="A18" s="8" t="s">
        <v>37</v>
      </c>
      <c r="B18" s="8" t="s">
        <v>38</v>
      </c>
    </row>
    <row r="19" customFormat="false" ht="15" hidden="false" customHeight="false" outlineLevel="0" collapsed="false">
      <c r="A19" s="8" t="s">
        <v>39</v>
      </c>
      <c r="B19" s="8" t="s">
        <v>38</v>
      </c>
    </row>
    <row r="20" customFormat="false" ht="15" hidden="false" customHeight="false" outlineLevel="0" collapsed="false">
      <c r="A20" s="8" t="s">
        <v>40</v>
      </c>
      <c r="B20" s="8" t="s">
        <v>41</v>
      </c>
    </row>
    <row r="21" customFormat="false" ht="15" hidden="false" customHeight="false" outlineLevel="0" collapsed="false">
      <c r="A21" s="8" t="s">
        <v>42</v>
      </c>
      <c r="B21" s="8" t="s">
        <v>41</v>
      </c>
    </row>
    <row r="22" customFormat="false" ht="15" hidden="false" customHeight="false" outlineLevel="0" collapsed="false">
      <c r="A22" s="8" t="s">
        <v>43</v>
      </c>
      <c r="B22" s="8" t="s">
        <v>41</v>
      </c>
    </row>
    <row r="23" customFormat="false" ht="15" hidden="false" customHeight="false" outlineLevel="0" collapsed="false">
      <c r="A23" s="8" t="s">
        <v>44</v>
      </c>
      <c r="B23" s="8" t="s">
        <v>41</v>
      </c>
    </row>
    <row r="24" customFormat="false" ht="15" hidden="false" customHeight="false" outlineLevel="0" collapsed="false">
      <c r="A24" s="8" t="s">
        <v>45</v>
      </c>
      <c r="B24" s="8" t="s">
        <v>46</v>
      </c>
    </row>
    <row r="25" customFormat="false" ht="15" hidden="false" customHeight="false" outlineLevel="0" collapsed="false">
      <c r="A25" s="8" t="s">
        <v>47</v>
      </c>
      <c r="B25" s="8" t="s">
        <v>46</v>
      </c>
    </row>
    <row r="26" customFormat="false" ht="15" hidden="false" customHeight="false" outlineLevel="0" collapsed="false">
      <c r="A26" s="8" t="s">
        <v>48</v>
      </c>
      <c r="B26" s="8" t="s">
        <v>46</v>
      </c>
    </row>
    <row r="27" customFormat="false" ht="15" hidden="false" customHeight="false" outlineLevel="0" collapsed="false">
      <c r="A27" s="8" t="s">
        <v>49</v>
      </c>
      <c r="B27" s="8" t="s">
        <v>50</v>
      </c>
    </row>
    <row r="28" customFormat="false" ht="15" hidden="false" customHeight="false" outlineLevel="0" collapsed="false">
      <c r="A28" s="8" t="s">
        <v>51</v>
      </c>
      <c r="B28" s="8" t="s">
        <v>50</v>
      </c>
    </row>
    <row r="29" customFormat="false" ht="15" hidden="false" customHeight="false" outlineLevel="0" collapsed="false">
      <c r="A29" s="8" t="s">
        <v>52</v>
      </c>
      <c r="B29" s="8" t="s">
        <v>50</v>
      </c>
    </row>
    <row r="30" customFormat="false" ht="15" hidden="false" customHeight="false" outlineLevel="0" collapsed="false">
      <c r="A30" s="8" t="s">
        <v>53</v>
      </c>
      <c r="B30" s="8" t="s">
        <v>54</v>
      </c>
    </row>
    <row r="31" customFormat="false" ht="15" hidden="false" customHeight="false" outlineLevel="0" collapsed="false">
      <c r="A31" s="8" t="s">
        <v>55</v>
      </c>
      <c r="B31" s="8" t="s">
        <v>54</v>
      </c>
    </row>
    <row r="32" customFormat="false" ht="15" hidden="false" customHeight="false" outlineLevel="0" collapsed="false">
      <c r="A32" s="8" t="s">
        <v>56</v>
      </c>
      <c r="B32" s="8" t="s">
        <v>54</v>
      </c>
    </row>
    <row r="33" customFormat="false" ht="15" hidden="false" customHeight="false" outlineLevel="0" collapsed="false">
      <c r="A33" s="8" t="s">
        <v>57</v>
      </c>
      <c r="B33" s="8" t="s">
        <v>58</v>
      </c>
    </row>
    <row r="34" customFormat="false" ht="15" hidden="false" customHeight="false" outlineLevel="0" collapsed="false">
      <c r="A34" s="8" t="s">
        <v>59</v>
      </c>
      <c r="B34" s="8" t="s">
        <v>58</v>
      </c>
    </row>
    <row r="35" customFormat="false" ht="15" hidden="false" customHeight="false" outlineLevel="0" collapsed="false">
      <c r="A35" s="8" t="s">
        <v>60</v>
      </c>
      <c r="B35" s="8" t="s">
        <v>58</v>
      </c>
    </row>
    <row r="36" customFormat="false" ht="15" hidden="false" customHeight="false" outlineLevel="0" collapsed="false">
      <c r="A36" s="8" t="s">
        <v>61</v>
      </c>
      <c r="B36" s="8" t="s">
        <v>62</v>
      </c>
    </row>
    <row r="37" customFormat="false" ht="15" hidden="false" customHeight="false" outlineLevel="0" collapsed="false">
      <c r="A37" s="8" t="s">
        <v>63</v>
      </c>
      <c r="B37" s="8" t="s">
        <v>62</v>
      </c>
    </row>
    <row r="38" customFormat="false" ht="15" hidden="false" customHeight="false" outlineLevel="0" collapsed="false">
      <c r="A38" s="8" t="s">
        <v>64</v>
      </c>
      <c r="B38" s="8" t="s">
        <v>62</v>
      </c>
    </row>
    <row r="39" customFormat="false" ht="15" hidden="false" customHeight="false" outlineLevel="0" collapsed="false">
      <c r="A39" s="8" t="s">
        <v>65</v>
      </c>
      <c r="B39" s="8" t="s">
        <v>62</v>
      </c>
    </row>
    <row r="40" customFormat="false" ht="15" hidden="false" customHeight="false" outlineLevel="0" collapsed="false">
      <c r="A40" s="8" t="s">
        <v>66</v>
      </c>
      <c r="B40" s="8" t="s">
        <v>62</v>
      </c>
    </row>
    <row r="41" customFormat="false" ht="15" hidden="false" customHeight="false" outlineLevel="0" collapsed="false">
      <c r="A41" s="8" t="s">
        <v>67</v>
      </c>
      <c r="B41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7" t="s">
        <v>69</v>
      </c>
      <c r="B1" s="7" t="s">
        <v>70</v>
      </c>
      <c r="C1" s="7" t="s">
        <v>71</v>
      </c>
      <c r="D1" s="7" t="s">
        <v>17</v>
      </c>
      <c r="E1" s="7" t="s">
        <v>72</v>
      </c>
      <c r="F1" s="7" t="s">
        <v>73</v>
      </c>
    </row>
    <row r="2" customFormat="false" ht="15" hidden="false" customHeight="false" outlineLevel="0" collapsed="false">
      <c r="A2" s="9" t="n">
        <v>46025</v>
      </c>
      <c r="B2" s="8" t="s">
        <v>74</v>
      </c>
      <c r="C2" s="8" t="s">
        <v>62</v>
      </c>
      <c r="D2" s="8" t="s">
        <v>62</v>
      </c>
      <c r="E2" s="8" t="str">
        <f aca="false">IFERROR(INDEX(Keywords!$B$2:$B$41,SUMPRODUCT(MAX((ISNUMBER(SEARCH(Keywords!$A$2:$A$41,B2)))*ROW(Keywords!$A$2:$A$41)))-1),"Uncategorized")</f>
        <v>Income</v>
      </c>
      <c r="F2" s="10" t="n">
        <v>4200</v>
      </c>
    </row>
    <row r="3" customFormat="false" ht="15" hidden="false" customHeight="false" outlineLevel="0" collapsed="false">
      <c r="A3" s="9" t="n">
        <v>46026</v>
      </c>
      <c r="B3" s="8" t="s">
        <v>75</v>
      </c>
      <c r="C3" s="8" t="s">
        <v>76</v>
      </c>
      <c r="D3" s="8" t="s">
        <v>26</v>
      </c>
      <c r="E3" s="8" t="str">
        <f aca="false">IFERROR(INDEX(Keywords!$B$2:$B$41,SUMPRODUCT(MAX((ISNUMBER(SEARCH(Keywords!$A$2:$A$41,B3)))*ROW(Keywords!$A$2:$A$41)))-1),"Uncategorized")</f>
        <v>Groceries</v>
      </c>
      <c r="F3" s="10" t="n">
        <v>-86.4</v>
      </c>
    </row>
    <row r="4" customFormat="false" ht="15" hidden="false" customHeight="false" outlineLevel="0" collapsed="false">
      <c r="A4" s="9" t="n">
        <v>46027</v>
      </c>
      <c r="B4" s="8" t="s">
        <v>77</v>
      </c>
      <c r="C4" s="8" t="s">
        <v>76</v>
      </c>
      <c r="D4" s="8" t="s">
        <v>19</v>
      </c>
      <c r="E4" s="8" t="str">
        <f aca="false">IFERROR(INDEX(Keywords!$B$2:$B$41,SUMPRODUCT(MAX((ISNUMBER(SEARCH(Keywords!$A$2:$A$41,B4)))*ROW(Keywords!$A$2:$A$41)))-1),"Uncategorized")</f>
        <v>Dining</v>
      </c>
      <c r="F4" s="10" t="n">
        <v>-6.75</v>
      </c>
    </row>
    <row r="5" customFormat="false" ht="15" hidden="false" customHeight="false" outlineLevel="0" collapsed="false">
      <c r="A5" s="9" t="n">
        <v>46028</v>
      </c>
      <c r="B5" s="8" t="s">
        <v>78</v>
      </c>
      <c r="C5" s="8" t="s">
        <v>76</v>
      </c>
      <c r="D5" s="8" t="s">
        <v>38</v>
      </c>
      <c r="E5" s="8" t="str">
        <f aca="false">IFERROR(INDEX(Keywords!$B$2:$B$41,SUMPRODUCT(MAX((ISNUMBER(SEARCH(Keywords!$A$2:$A$41,B5)))*ROW(Keywords!$A$2:$A$41)))-1),"Uncategorized")</f>
        <v>Housing</v>
      </c>
      <c r="F5" s="10" t="n">
        <v>-1650</v>
      </c>
    </row>
    <row r="6" customFormat="false" ht="15" hidden="false" customHeight="false" outlineLevel="0" collapsed="false">
      <c r="A6" s="9" t="n">
        <v>46030</v>
      </c>
      <c r="B6" s="8" t="s">
        <v>79</v>
      </c>
      <c r="C6" s="8" t="s">
        <v>76</v>
      </c>
      <c r="D6" s="8" t="s">
        <v>31</v>
      </c>
      <c r="E6" s="8" t="str">
        <f aca="false">IFERROR(INDEX(Keywords!$B$2:$B$41,SUMPRODUCT(MAX((ISNUMBER(SEARCH(Keywords!$A$2:$A$41,B6)))*ROW(Keywords!$A$2:$A$41)))-1),"Uncategorized")</f>
        <v>Transport</v>
      </c>
      <c r="F6" s="10" t="n">
        <v>-34.2</v>
      </c>
    </row>
    <row r="7" customFormat="false" ht="15" hidden="false" customHeight="false" outlineLevel="0" collapsed="false">
      <c r="A7" s="9" t="n">
        <v>46032</v>
      </c>
      <c r="B7" s="8" t="s">
        <v>80</v>
      </c>
      <c r="C7" s="8" t="s">
        <v>76</v>
      </c>
      <c r="D7" s="8" t="s">
        <v>46</v>
      </c>
      <c r="E7" s="8" t="str">
        <f aca="false">IFERROR(INDEX(Keywords!$B$2:$B$41,SUMPRODUCT(MAX((ISNUMBER(SEARCH(Keywords!$A$2:$A$41,B7)))*ROW(Keywords!$A$2:$A$41)))-1),"Uncategorized")</f>
        <v>Subscriptions</v>
      </c>
      <c r="F7" s="10" t="n">
        <v>-15.49</v>
      </c>
    </row>
    <row r="8" customFormat="false" ht="15" hidden="false" customHeight="false" outlineLevel="0" collapsed="false">
      <c r="A8" s="9" t="n">
        <v>46034</v>
      </c>
      <c r="B8" s="8" t="s">
        <v>81</v>
      </c>
      <c r="C8" s="8" t="s">
        <v>76</v>
      </c>
      <c r="D8" s="8" t="s">
        <v>50</v>
      </c>
      <c r="E8" s="8" t="str">
        <f aca="false">IFERROR(INDEX(Keywords!$B$2:$B$41,SUMPRODUCT(MAX((ISNUMBER(SEARCH(Keywords!$A$2:$A$41,B8)))*ROW(Keywords!$A$2:$A$41)))-1),"Uncategorized")</f>
        <v>Health &amp; Fitness</v>
      </c>
      <c r="F8" s="10" t="n">
        <v>-49</v>
      </c>
    </row>
    <row r="9" customFormat="false" ht="15" hidden="false" customHeight="false" outlineLevel="0" collapsed="false">
      <c r="A9" s="9" t="n">
        <v>46037</v>
      </c>
      <c r="B9" s="8" t="s">
        <v>82</v>
      </c>
      <c r="C9" s="8" t="s">
        <v>62</v>
      </c>
      <c r="D9" s="8" t="s">
        <v>62</v>
      </c>
      <c r="E9" s="8" t="str">
        <f aca="false">IFERROR(INDEX(Keywords!$B$2:$B$41,SUMPRODUCT(MAX((ISNUMBER(SEARCH(Keywords!$A$2:$A$41,B9)))*ROW(Keywords!$A$2:$A$41)))-1),"Uncategorized")</f>
        <v>Income</v>
      </c>
      <c r="F9" s="10" t="n">
        <v>800</v>
      </c>
    </row>
    <row r="10" customFormat="false" ht="15" hidden="false" customHeight="false" outlineLevel="0" collapsed="false">
      <c r="A10" s="9" t="n">
        <v>46040</v>
      </c>
      <c r="B10" s="8" t="s">
        <v>83</v>
      </c>
      <c r="C10" s="8" t="s">
        <v>76</v>
      </c>
      <c r="D10" s="8" t="s">
        <v>54</v>
      </c>
      <c r="E10" s="8" t="str">
        <f aca="false">IFERROR(INDEX(Keywords!$B$2:$B$41,SUMPRODUCT(MAX((ISNUMBER(SEARCH(Keywords!$A$2:$A$41,B10)))*ROW(Keywords!$A$2:$A$41)))-1),"Uncategorized")</f>
        <v>Shopping</v>
      </c>
      <c r="F10" s="10" t="n">
        <v>-62.1</v>
      </c>
    </row>
    <row r="11" customFormat="false" ht="15" hidden="false" customHeight="false" outlineLevel="0" collapsed="false">
      <c r="A11" s="9" t="n">
        <v>46042</v>
      </c>
      <c r="B11" s="8" t="s">
        <v>84</v>
      </c>
      <c r="C11" s="8" t="s">
        <v>76</v>
      </c>
      <c r="D11" s="8" t="s">
        <v>41</v>
      </c>
      <c r="E11" s="8" t="str">
        <f aca="false">IFERROR(INDEX(Keywords!$B$2:$B$41,SUMPRODUCT(MAX((ISNUMBER(SEARCH(Keywords!$A$2:$A$41,B11)))*ROW(Keywords!$A$2:$A$41)))-1),"Uncategorized")</f>
        <v>Utilities</v>
      </c>
      <c r="F11" s="10" t="n">
        <v>-74.3</v>
      </c>
    </row>
    <row r="12" customFormat="false" ht="15" hidden="false" customHeight="false" outlineLevel="0" collapsed="false">
      <c r="A12" s="9" t="n">
        <v>46044</v>
      </c>
      <c r="B12" s="8" t="s">
        <v>85</v>
      </c>
      <c r="C12" s="8" t="s">
        <v>76</v>
      </c>
      <c r="D12" s="8" t="s">
        <v>68</v>
      </c>
      <c r="E12" s="8" t="str">
        <f aca="false">IFERROR(INDEX(Keywords!$B$2:$B$41,SUMPRODUCT(MAX((ISNUMBER(SEARCH(Keywords!$A$2:$A$41,B12)))*ROW(Keywords!$A$2:$A$41)))-1),"Uncategorized")</f>
        <v>Savings</v>
      </c>
      <c r="F12" s="10" t="n">
        <v>-400</v>
      </c>
    </row>
    <row r="13" customFormat="false" ht="15" hidden="false" customHeight="false" outlineLevel="0" collapsed="false">
      <c r="A13" s="9" t="n">
        <v>46047</v>
      </c>
      <c r="B13" s="8" t="s">
        <v>86</v>
      </c>
      <c r="C13" s="8" t="s">
        <v>76</v>
      </c>
      <c r="D13" s="8" t="s">
        <v>26</v>
      </c>
      <c r="E13" s="8" t="str">
        <f aca="false">IFERROR(INDEX(Keywords!$B$2:$B$41,SUMPRODUCT(MAX((ISNUMBER(SEARCH(Keywords!$A$2:$A$41,B13)))*ROW(Keywords!$A$2:$A$41)))-1),"Uncategorized")</f>
        <v>Groceries</v>
      </c>
      <c r="F13" s="10" t="n">
        <v>-58.9</v>
      </c>
    </row>
    <row r="14" customFormat="false" ht="15" hidden="false" customHeight="false" outlineLevel="0" collapsed="false">
      <c r="A14" s="9" t="n">
        <v>46054</v>
      </c>
      <c r="B14" s="8" t="s">
        <v>74</v>
      </c>
      <c r="C14" s="8" t="s">
        <v>62</v>
      </c>
      <c r="D14" s="8" t="s">
        <v>62</v>
      </c>
      <c r="E14" s="8" t="str">
        <f aca="false">IFERROR(INDEX(Keywords!$B$2:$B$41,SUMPRODUCT(MAX((ISNUMBER(SEARCH(Keywords!$A$2:$A$41,B14)))*ROW(Keywords!$A$2:$A$41)))-1),"Uncategorized")</f>
        <v>Income</v>
      </c>
      <c r="F14" s="10" t="n">
        <v>4200</v>
      </c>
    </row>
    <row r="15" customFormat="false" ht="15" hidden="false" customHeight="false" outlineLevel="0" collapsed="false">
      <c r="A15" s="9" t="n">
        <v>46056</v>
      </c>
      <c r="B15" s="8" t="s">
        <v>78</v>
      </c>
      <c r="C15" s="8" t="s">
        <v>76</v>
      </c>
      <c r="D15" s="8" t="s">
        <v>38</v>
      </c>
      <c r="E15" s="8" t="str">
        <f aca="false">IFERROR(INDEX(Keywords!$B$2:$B$41,SUMPRODUCT(MAX((ISNUMBER(SEARCH(Keywords!$A$2:$A$41,B15)))*ROW(Keywords!$A$2:$A$41)))-1),"Uncategorized")</f>
        <v>Housing</v>
      </c>
      <c r="F15" s="10" t="n">
        <v>-1650</v>
      </c>
    </row>
    <row r="16" customFormat="false" ht="15" hidden="false" customHeight="false" outlineLevel="0" collapsed="false">
      <c r="A16" s="9" t="n">
        <v>46058</v>
      </c>
      <c r="B16" s="8" t="s">
        <v>87</v>
      </c>
      <c r="C16" s="8" t="s">
        <v>76</v>
      </c>
      <c r="D16" s="8" t="s">
        <v>26</v>
      </c>
      <c r="E16" s="8" t="str">
        <f aca="false">IFERROR(INDEX(Keywords!$B$2:$B$41,SUMPRODUCT(MAX((ISNUMBER(SEARCH(Keywords!$A$2:$A$41,B16)))*ROW(Keywords!$A$2:$A$41)))-1),"Uncategorized")</f>
        <v>Groceries</v>
      </c>
      <c r="F16" s="10" t="n">
        <v>-71.2</v>
      </c>
    </row>
    <row r="17" customFormat="false" ht="15" hidden="false" customHeight="false" outlineLevel="0" collapsed="false">
      <c r="A17" s="9" t="n">
        <v>46062</v>
      </c>
      <c r="B17" s="8" t="s">
        <v>88</v>
      </c>
      <c r="C17" s="8" t="s">
        <v>76</v>
      </c>
      <c r="D17" s="8" t="s">
        <v>31</v>
      </c>
      <c r="E17" s="8" t="str">
        <f aca="false">IFERROR(INDEX(Keywords!$B$2:$B$41,SUMPRODUCT(MAX((ISNUMBER(SEARCH(Keywords!$A$2:$A$41,B17)))*ROW(Keywords!$A$2:$A$41)))-1),"Uncategorized")</f>
        <v>Transport</v>
      </c>
      <c r="F17" s="10" t="n">
        <v>-18.5</v>
      </c>
    </row>
    <row r="18" customFormat="false" ht="15" hidden="false" customHeight="false" outlineLevel="0" collapsed="false">
      <c r="A18" s="9" t="n">
        <v>46067</v>
      </c>
      <c r="B18" s="8" t="s">
        <v>89</v>
      </c>
      <c r="C18" s="8" t="s">
        <v>76</v>
      </c>
      <c r="D18" s="8" t="s">
        <v>46</v>
      </c>
      <c r="E18" s="8" t="str">
        <f aca="false">IFERROR(INDEX(Keywords!$B$2:$B$41,SUMPRODUCT(MAX((ISNUMBER(SEARCH(Keywords!$A$2:$A$41,B18)))*ROW(Keywords!$A$2:$A$41)))-1),"Uncategorized")</f>
        <v>Subscriptions</v>
      </c>
      <c r="F18" s="10" t="n">
        <v>-11.99</v>
      </c>
    </row>
    <row r="19" customFormat="false" ht="15" hidden="false" customHeight="false" outlineLevel="0" collapsed="false">
      <c r="A19" s="9" t="n">
        <v>46071</v>
      </c>
      <c r="B19" s="8" t="s">
        <v>90</v>
      </c>
      <c r="C19" s="8" t="s">
        <v>76</v>
      </c>
      <c r="D19" s="8" t="s">
        <v>50</v>
      </c>
      <c r="E19" s="8" t="str">
        <f aca="false">IFERROR(INDEX(Keywords!$B$2:$B$41,SUMPRODUCT(MAX((ISNUMBER(SEARCH(Keywords!$A$2:$A$41,B19)))*ROW(Keywords!$A$2:$A$41)))-1),"Uncategorized")</f>
        <v>Health &amp; Fitness</v>
      </c>
      <c r="F19" s="10" t="n">
        <v>-40</v>
      </c>
    </row>
    <row r="20" customFormat="false" ht="15" hidden="false" customHeight="false" outlineLevel="0" collapsed="false">
      <c r="A20" s="9" t="n">
        <v>46074</v>
      </c>
      <c r="B20" s="8" t="s">
        <v>85</v>
      </c>
      <c r="C20" s="8" t="s">
        <v>76</v>
      </c>
      <c r="D20" s="8" t="s">
        <v>68</v>
      </c>
      <c r="E20" s="8" t="str">
        <f aca="false">IFERROR(INDEX(Keywords!$B$2:$B$41,SUMPRODUCT(MAX((ISNUMBER(SEARCH(Keywords!$A$2:$A$41,B20)))*ROW(Keywords!$A$2:$A$41)))-1),"Uncategorized")</f>
        <v>Savings</v>
      </c>
      <c r="F20" s="10" t="n">
        <v>-400</v>
      </c>
    </row>
    <row r="21" customFormat="false" ht="15" hidden="false" customHeight="false" outlineLevel="0" collapsed="false">
      <c r="A21" s="9" t="n">
        <v>46079</v>
      </c>
      <c r="B21" s="8" t="s">
        <v>91</v>
      </c>
      <c r="C21" s="8" t="s">
        <v>62</v>
      </c>
      <c r="D21" s="8" t="s">
        <v>62</v>
      </c>
      <c r="E21" s="8" t="str">
        <f aca="false">IFERROR(INDEX(Keywords!$B$2:$B$41,SUMPRODUCT(MAX((ISNUMBER(SEARCH(Keywords!$A$2:$A$41,B21)))*ROW(Keywords!$A$2:$A$41)))-1),"Uncategorized")</f>
        <v>Income</v>
      </c>
      <c r="F21" s="10" t="n">
        <v>12.3</v>
      </c>
    </row>
    <row r="22" customFormat="false" ht="15" hidden="false" customHeight="false" outlineLevel="0" collapsed="false">
      <c r="A22" s="8"/>
      <c r="B22" s="8"/>
      <c r="C22" s="8"/>
      <c r="D22" s="8"/>
      <c r="E22" s="0" t="str">
        <f aca="false">IF(B22="","",IFERROR(INDEX(Keywords!$B$2:$B$41,SUMPRODUCT(MAX((ISNUMBER(SEARCH(Keywords!$A$2:$A$41,B22)))*ROW(Keywords!$A$2:$A$41)))-1),"Uncategorized"))</f>
        <v/>
      </c>
      <c r="F22" s="8"/>
    </row>
    <row r="23" customFormat="false" ht="15" hidden="false" customHeight="false" outlineLevel="0" collapsed="false">
      <c r="A23" s="8"/>
      <c r="B23" s="8"/>
      <c r="C23" s="8"/>
      <c r="D23" s="8"/>
      <c r="E23" s="0" t="str">
        <f aca="false">IF(B23="","",IFERROR(INDEX(Keywords!$B$2:$B$41,SUMPRODUCT(MAX((ISNUMBER(SEARCH(Keywords!$A$2:$A$41,B23)))*ROW(Keywords!$A$2:$A$41)))-1),"Uncategorized"))</f>
        <v/>
      </c>
      <c r="F23" s="8"/>
    </row>
    <row r="24" customFormat="false" ht="15" hidden="false" customHeight="false" outlineLevel="0" collapsed="false">
      <c r="A24" s="8"/>
      <c r="B24" s="8"/>
      <c r="C24" s="8"/>
      <c r="D24" s="8"/>
      <c r="E24" s="0" t="str">
        <f aca="false">IF(B24="","",IFERROR(INDEX(Keywords!$B$2:$B$41,SUMPRODUCT(MAX((ISNUMBER(SEARCH(Keywords!$A$2:$A$41,B24)))*ROW(Keywords!$A$2:$A$41)))-1),"Uncategorized"))</f>
        <v/>
      </c>
      <c r="F24" s="8"/>
    </row>
    <row r="25" customFormat="false" ht="15" hidden="false" customHeight="false" outlineLevel="0" collapsed="false">
      <c r="A25" s="8"/>
      <c r="B25" s="8"/>
      <c r="C25" s="8"/>
      <c r="D25" s="8"/>
      <c r="E25" s="0" t="str">
        <f aca="false">IF(B25="","",IFERROR(INDEX(Keywords!$B$2:$B$41,SUMPRODUCT(MAX((ISNUMBER(SEARCH(Keywords!$A$2:$A$41,B25)))*ROW(Keywords!$A$2:$A$41)))-1),"Uncategorized"))</f>
        <v/>
      </c>
      <c r="F25" s="8"/>
    </row>
    <row r="26" customFormat="false" ht="15" hidden="false" customHeight="false" outlineLevel="0" collapsed="false">
      <c r="A26" s="8"/>
      <c r="B26" s="8"/>
      <c r="C26" s="8"/>
      <c r="D26" s="8"/>
      <c r="E26" s="0" t="str">
        <f aca="false">IF(B26="","",IFERROR(INDEX(Keywords!$B$2:$B$41,SUMPRODUCT(MAX((ISNUMBER(SEARCH(Keywords!$A$2:$A$41,B26)))*ROW(Keywords!$A$2:$A$41)))-1),"Uncategorized"))</f>
        <v/>
      </c>
      <c r="F26" s="8"/>
    </row>
    <row r="27" customFormat="false" ht="15" hidden="false" customHeight="false" outlineLevel="0" collapsed="false">
      <c r="A27" s="8"/>
      <c r="B27" s="8"/>
      <c r="C27" s="8"/>
      <c r="D27" s="8"/>
      <c r="E27" s="0" t="str">
        <f aca="false">IF(B27="","",IFERROR(INDEX(Keywords!$B$2:$B$41,SUMPRODUCT(MAX((ISNUMBER(SEARCH(Keywords!$A$2:$A$41,B27)))*ROW(Keywords!$A$2:$A$41)))-1),"Uncategorized"))</f>
        <v/>
      </c>
      <c r="F27" s="8"/>
    </row>
    <row r="28" customFormat="false" ht="15" hidden="false" customHeight="false" outlineLevel="0" collapsed="false">
      <c r="A28" s="8"/>
      <c r="B28" s="8"/>
      <c r="C28" s="8"/>
      <c r="D28" s="8"/>
      <c r="E28" s="0" t="str">
        <f aca="false">IF(B28="","",IFERROR(INDEX(Keywords!$B$2:$B$41,SUMPRODUCT(MAX((ISNUMBER(SEARCH(Keywords!$A$2:$A$41,B28)))*ROW(Keywords!$A$2:$A$41)))-1),"Uncategorized"))</f>
        <v/>
      </c>
      <c r="F28" s="8"/>
    </row>
    <row r="29" customFormat="false" ht="15" hidden="false" customHeight="false" outlineLevel="0" collapsed="false">
      <c r="A29" s="8"/>
      <c r="B29" s="8"/>
      <c r="C29" s="8"/>
      <c r="D29" s="8"/>
      <c r="E29" s="0" t="str">
        <f aca="false">IF(B29="","",IFERROR(INDEX(Keywords!$B$2:$B$41,SUMPRODUCT(MAX((ISNUMBER(SEARCH(Keywords!$A$2:$A$41,B29)))*ROW(Keywords!$A$2:$A$41)))-1),"Uncategorized"))</f>
        <v/>
      </c>
      <c r="F29" s="8"/>
    </row>
    <row r="30" customFormat="false" ht="15" hidden="false" customHeight="false" outlineLevel="0" collapsed="false">
      <c r="A30" s="8"/>
      <c r="B30" s="8"/>
      <c r="C30" s="8"/>
      <c r="D30" s="8"/>
      <c r="E30" s="0" t="str">
        <f aca="false">IF(B30="","",IFERROR(INDEX(Keywords!$B$2:$B$41,SUMPRODUCT(MAX((ISNUMBER(SEARCH(Keywords!$A$2:$A$41,B30)))*ROW(Keywords!$A$2:$A$41)))-1),"Uncategorized"))</f>
        <v/>
      </c>
      <c r="F30" s="8"/>
    </row>
    <row r="31" customFormat="false" ht="15" hidden="false" customHeight="false" outlineLevel="0" collapsed="false">
      <c r="A31" s="8"/>
      <c r="B31" s="8"/>
      <c r="C31" s="8"/>
      <c r="D31" s="8"/>
      <c r="E31" s="0" t="str">
        <f aca="false">IF(B31="","",IFERROR(INDEX(Keywords!$B$2:$B$41,SUMPRODUCT(MAX((ISNUMBER(SEARCH(Keywords!$A$2:$A$41,B31)))*ROW(Keywords!$A$2:$A$41)))-1),"Uncategorized"))</f>
        <v/>
      </c>
      <c r="F31" s="8"/>
    </row>
    <row r="32" customFormat="false" ht="15" hidden="false" customHeight="false" outlineLevel="0" collapsed="false">
      <c r="A32" s="8"/>
      <c r="B32" s="8"/>
      <c r="C32" s="8"/>
      <c r="D32" s="8"/>
      <c r="E32" s="0" t="str">
        <f aca="false">IF(B32="","",IFERROR(INDEX(Keywords!$B$2:$B$41,SUMPRODUCT(MAX((ISNUMBER(SEARCH(Keywords!$A$2:$A$41,B32)))*ROW(Keywords!$A$2:$A$41)))-1),"Uncategorized"))</f>
        <v/>
      </c>
      <c r="F32" s="8"/>
    </row>
    <row r="33" customFormat="false" ht="15" hidden="false" customHeight="false" outlineLevel="0" collapsed="false">
      <c r="A33" s="8"/>
      <c r="B33" s="8"/>
      <c r="C33" s="8"/>
      <c r="D33" s="8"/>
      <c r="E33" s="0" t="str">
        <f aca="false">IF(B33="","",IFERROR(INDEX(Keywords!$B$2:$B$41,SUMPRODUCT(MAX((ISNUMBER(SEARCH(Keywords!$A$2:$A$41,B33)))*ROW(Keywords!$A$2:$A$41)))-1),"Uncategorized"))</f>
        <v/>
      </c>
      <c r="F33" s="8"/>
    </row>
    <row r="34" customFormat="false" ht="15" hidden="false" customHeight="false" outlineLevel="0" collapsed="false">
      <c r="A34" s="8"/>
      <c r="B34" s="8"/>
      <c r="C34" s="8"/>
      <c r="D34" s="8"/>
      <c r="E34" s="0" t="str">
        <f aca="false">IF(B34="","",IFERROR(INDEX(Keywords!$B$2:$B$41,SUMPRODUCT(MAX((ISNUMBER(SEARCH(Keywords!$A$2:$A$41,B34)))*ROW(Keywords!$A$2:$A$41)))-1),"Uncategorized"))</f>
        <v/>
      </c>
      <c r="F34" s="8"/>
    </row>
    <row r="35" customFormat="false" ht="15" hidden="false" customHeight="false" outlineLevel="0" collapsed="false">
      <c r="A35" s="8"/>
      <c r="B35" s="8"/>
      <c r="C35" s="8"/>
      <c r="D35" s="8"/>
      <c r="E35" s="0" t="str">
        <f aca="false">IF(B35="","",IFERROR(INDEX(Keywords!$B$2:$B$41,SUMPRODUCT(MAX((ISNUMBER(SEARCH(Keywords!$A$2:$A$41,B35)))*ROW(Keywords!$A$2:$A$41)))-1),"Uncategorized"))</f>
        <v/>
      </c>
      <c r="F35" s="8"/>
    </row>
    <row r="36" customFormat="false" ht="15" hidden="false" customHeight="false" outlineLevel="0" collapsed="false">
      <c r="A36" s="8"/>
      <c r="B36" s="8"/>
      <c r="C36" s="8"/>
      <c r="D36" s="8"/>
      <c r="E36" s="0" t="str">
        <f aca="false">IF(B36="","",IFERROR(INDEX(Keywords!$B$2:$B$41,SUMPRODUCT(MAX((ISNUMBER(SEARCH(Keywords!$A$2:$A$41,B36)))*ROW(Keywords!$A$2:$A$41)))-1),"Uncategorized"))</f>
        <v/>
      </c>
      <c r="F36" s="8"/>
    </row>
    <row r="37" customFormat="false" ht="15" hidden="false" customHeight="false" outlineLevel="0" collapsed="false">
      <c r="A37" s="8"/>
      <c r="B37" s="8"/>
      <c r="C37" s="8"/>
      <c r="D37" s="8"/>
      <c r="E37" s="0" t="str">
        <f aca="false">IF(B37="","",IFERROR(INDEX(Keywords!$B$2:$B$41,SUMPRODUCT(MAX((ISNUMBER(SEARCH(Keywords!$A$2:$A$41,B37)))*ROW(Keywords!$A$2:$A$41)))-1),"Uncategorized"))</f>
        <v/>
      </c>
      <c r="F37" s="8"/>
    </row>
    <row r="38" customFormat="false" ht="15" hidden="false" customHeight="false" outlineLevel="0" collapsed="false">
      <c r="A38" s="8"/>
      <c r="B38" s="8"/>
      <c r="C38" s="8"/>
      <c r="D38" s="8"/>
      <c r="E38" s="0" t="str">
        <f aca="false">IF(B38="","",IFERROR(INDEX(Keywords!$B$2:$B$41,SUMPRODUCT(MAX((ISNUMBER(SEARCH(Keywords!$A$2:$A$41,B38)))*ROW(Keywords!$A$2:$A$41)))-1),"Uncategorized"))</f>
        <v/>
      </c>
      <c r="F38" s="8"/>
    </row>
    <row r="39" customFormat="false" ht="15" hidden="false" customHeight="false" outlineLevel="0" collapsed="false">
      <c r="A39" s="8"/>
      <c r="B39" s="8"/>
      <c r="C39" s="8"/>
      <c r="D39" s="8"/>
      <c r="E39" s="0" t="str">
        <f aca="false">IF(B39="","",IFERROR(INDEX(Keywords!$B$2:$B$41,SUMPRODUCT(MAX((ISNUMBER(SEARCH(Keywords!$A$2:$A$41,B39)))*ROW(Keywords!$A$2:$A$41)))-1),"Uncategorized"))</f>
        <v/>
      </c>
      <c r="F39" s="8"/>
    </row>
    <row r="40" customFormat="false" ht="15" hidden="false" customHeight="false" outlineLevel="0" collapsed="false">
      <c r="A40" s="8"/>
      <c r="B40" s="8"/>
      <c r="C40" s="8"/>
      <c r="D40" s="8"/>
      <c r="E40" s="0" t="str">
        <f aca="false">IF(B40="","",IFERROR(INDEX(Keywords!$B$2:$B$41,SUMPRODUCT(MAX((ISNUMBER(SEARCH(Keywords!$A$2:$A$41,B40)))*ROW(Keywords!$A$2:$A$41)))-1),"Uncategorized"))</f>
        <v/>
      </c>
      <c r="F40" s="8"/>
    </row>
    <row r="41" customFormat="false" ht="15" hidden="false" customHeight="false" outlineLevel="0" collapsed="false">
      <c r="A41" s="8"/>
      <c r="B41" s="8"/>
      <c r="C41" s="8"/>
      <c r="D41" s="8"/>
      <c r="E41" s="0" t="str">
        <f aca="false">IF(B41="","",IFERROR(INDEX(Keywords!$B$2:$B$41,SUMPRODUCT(MAX((ISNUMBER(SEARCH(Keywords!$A$2:$A$41,B41)))*ROW(Keywords!$A$2:$A$41)))-1),"Uncategorized"))</f>
        <v/>
      </c>
      <c r="F41" s="8"/>
    </row>
    <row r="42" customFormat="false" ht="15" hidden="false" customHeight="false" outlineLevel="0" collapsed="false">
      <c r="A42" s="8"/>
      <c r="B42" s="8"/>
      <c r="C42" s="8"/>
      <c r="D42" s="8"/>
      <c r="E42" s="0" t="str">
        <f aca="false">IF(B42="","",IFERROR(INDEX(Keywords!$B$2:$B$41,SUMPRODUCT(MAX((ISNUMBER(SEARCH(Keywords!$A$2:$A$41,B42)))*ROW(Keywords!$A$2:$A$41)))-1),"Uncategorized"))</f>
        <v/>
      </c>
      <c r="F42" s="8"/>
    </row>
    <row r="43" customFormat="false" ht="15" hidden="false" customHeight="false" outlineLevel="0" collapsed="false">
      <c r="A43" s="8"/>
      <c r="B43" s="8"/>
      <c r="C43" s="8"/>
      <c r="D43" s="8"/>
      <c r="E43" s="0" t="str">
        <f aca="false">IF(B43="","",IFERROR(INDEX(Keywords!$B$2:$B$41,SUMPRODUCT(MAX((ISNUMBER(SEARCH(Keywords!$A$2:$A$41,B43)))*ROW(Keywords!$A$2:$A$41)))-1),"Uncategorized"))</f>
        <v/>
      </c>
      <c r="F43" s="8"/>
    </row>
    <row r="44" customFormat="false" ht="15" hidden="false" customHeight="false" outlineLevel="0" collapsed="false">
      <c r="A44" s="8"/>
      <c r="B44" s="8"/>
      <c r="C44" s="8"/>
      <c r="D44" s="8"/>
      <c r="E44" s="0" t="str">
        <f aca="false">IF(B44="","",IFERROR(INDEX(Keywords!$B$2:$B$41,SUMPRODUCT(MAX((ISNUMBER(SEARCH(Keywords!$A$2:$A$41,B44)))*ROW(Keywords!$A$2:$A$41)))-1),"Uncategorized"))</f>
        <v/>
      </c>
      <c r="F44" s="8"/>
    </row>
    <row r="45" customFormat="false" ht="15" hidden="false" customHeight="false" outlineLevel="0" collapsed="false">
      <c r="A45" s="8"/>
      <c r="B45" s="8"/>
      <c r="C45" s="8"/>
      <c r="D45" s="8"/>
      <c r="E45" s="0" t="str">
        <f aca="false">IF(B45="","",IFERROR(INDEX(Keywords!$B$2:$B$41,SUMPRODUCT(MAX((ISNUMBER(SEARCH(Keywords!$A$2:$A$41,B45)))*ROW(Keywords!$A$2:$A$41)))-1),"Uncategorized"))</f>
        <v/>
      </c>
      <c r="F45" s="8"/>
    </row>
    <row r="46" customFormat="false" ht="15" hidden="false" customHeight="false" outlineLevel="0" collapsed="false">
      <c r="A46" s="8"/>
      <c r="B46" s="8"/>
      <c r="C46" s="8"/>
      <c r="D46" s="8"/>
      <c r="E46" s="0" t="str">
        <f aca="false">IF(B46="","",IFERROR(INDEX(Keywords!$B$2:$B$41,SUMPRODUCT(MAX((ISNUMBER(SEARCH(Keywords!$A$2:$A$41,B46)))*ROW(Keywords!$A$2:$A$41)))-1),"Uncategorized"))</f>
        <v/>
      </c>
      <c r="F46" s="8"/>
    </row>
    <row r="47" customFormat="false" ht="15" hidden="false" customHeight="false" outlineLevel="0" collapsed="false">
      <c r="A47" s="8"/>
      <c r="B47" s="8"/>
      <c r="C47" s="8"/>
      <c r="D47" s="8"/>
      <c r="E47" s="0" t="str">
        <f aca="false">IF(B47="","",IFERROR(INDEX(Keywords!$B$2:$B$41,SUMPRODUCT(MAX((ISNUMBER(SEARCH(Keywords!$A$2:$A$41,B47)))*ROW(Keywords!$A$2:$A$41)))-1),"Uncategorized"))</f>
        <v/>
      </c>
      <c r="F47" s="8"/>
    </row>
    <row r="48" customFormat="false" ht="15" hidden="false" customHeight="false" outlineLevel="0" collapsed="false">
      <c r="A48" s="8"/>
      <c r="B48" s="8"/>
      <c r="C48" s="8"/>
      <c r="D48" s="8"/>
      <c r="E48" s="0" t="str">
        <f aca="false">IF(B48="","",IFERROR(INDEX(Keywords!$B$2:$B$41,SUMPRODUCT(MAX((ISNUMBER(SEARCH(Keywords!$A$2:$A$41,B48)))*ROW(Keywords!$A$2:$A$41)))-1),"Uncategorized"))</f>
        <v/>
      </c>
      <c r="F48" s="8"/>
    </row>
    <row r="49" customFormat="false" ht="15" hidden="false" customHeight="false" outlineLevel="0" collapsed="false">
      <c r="A49" s="8"/>
      <c r="B49" s="8"/>
      <c r="C49" s="8"/>
      <c r="D49" s="8"/>
      <c r="E49" s="0" t="str">
        <f aca="false">IF(B49="","",IFERROR(INDEX(Keywords!$B$2:$B$41,SUMPRODUCT(MAX((ISNUMBER(SEARCH(Keywords!$A$2:$A$41,B49)))*ROW(Keywords!$A$2:$A$41)))-1),"Uncategorized"))</f>
        <v/>
      </c>
      <c r="F49" s="8"/>
    </row>
    <row r="50" customFormat="false" ht="15" hidden="false" customHeight="false" outlineLevel="0" collapsed="false">
      <c r="A50" s="8"/>
      <c r="B50" s="8"/>
      <c r="C50" s="8"/>
      <c r="D50" s="8"/>
      <c r="E50" s="0" t="str">
        <f aca="false">IF(B50="","",IFERROR(INDEX(Keywords!$B$2:$B$41,SUMPRODUCT(MAX((ISNUMBER(SEARCH(Keywords!$A$2:$A$41,B50)))*ROW(Keywords!$A$2:$A$41)))-1),"Uncategorized"))</f>
        <v/>
      </c>
      <c r="F50" s="8"/>
    </row>
    <row r="51" customFormat="false" ht="15" hidden="false" customHeight="false" outlineLevel="0" collapsed="false">
      <c r="A51" s="8"/>
      <c r="B51" s="8"/>
      <c r="C51" s="8"/>
      <c r="D51" s="8"/>
      <c r="E51" s="0" t="str">
        <f aca="false">IF(B51="","",IFERROR(INDEX(Keywords!$B$2:$B$41,SUMPRODUCT(MAX((ISNUMBER(SEARCH(Keywords!$A$2:$A$41,B51)))*ROW(Keywords!$A$2:$A$41)))-1),"Uncategorized"))</f>
        <v/>
      </c>
      <c r="F51" s="8"/>
    </row>
  </sheetData>
  <conditionalFormatting sqref="F2:F51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C2:C51" type="list">
      <formula1>"Income,Expense"</formula1>
      <formula2>0</formula2>
    </dataValidation>
    <dataValidation allowBlank="true" errorStyle="stop" operator="between" showDropDown="false" showErrorMessage="false" showInputMessage="false" sqref="D2:D51" type="list">
      <formula1>"Dining,Groceries,Health &amp; Fitness,Housing,Income,Savings,Shopping,Subscriptions,Transport,Travel,Utilities"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1" t="s">
        <v>17</v>
      </c>
      <c r="B1" s="11" t="s">
        <v>92</v>
      </c>
      <c r="C1" s="11" t="s">
        <v>93</v>
      </c>
    </row>
    <row r="2" customFormat="false" ht="15" hidden="false" customHeight="false" outlineLevel="0" collapsed="false">
      <c r="A2" s="8" t="s">
        <v>19</v>
      </c>
      <c r="B2" s="12" t="n">
        <f aca="false">-SUMIFS(Transactions!$F$2:$F$51,Transactions!$D$2:$D$51,$A2,Transactions!$C$2:$C$51,"Expense",Transactions!$A$2:$A$51,"&gt;="&amp;DATE(2026,1,1),Transactions!$A$2:$A$51,"&lt;="&amp;DATE(2026,1,31))</f>
        <v>6.75</v>
      </c>
      <c r="C2" s="12" t="n">
        <f aca="false">-SUMIFS(Transactions!$F$2:$F$51,Transactions!$D$2:$D$51,$A2,Transactions!$C$2:$C$51,"Expense",Transactions!$A$2:$A$51,"&gt;="&amp;DATE(2026,2,1),Transactions!$A$2:$A$51,"&lt;="&amp;DATE(2026,2,28))</f>
        <v>-0</v>
      </c>
    </row>
    <row r="3" customFormat="false" ht="15" hidden="false" customHeight="false" outlineLevel="0" collapsed="false">
      <c r="A3" s="8" t="s">
        <v>26</v>
      </c>
      <c r="B3" s="12" t="n">
        <f aca="false">-SUMIFS(Transactions!$F$2:$F$51,Transactions!$D$2:$D$51,$A3,Transactions!$C$2:$C$51,"Expense",Transactions!$A$2:$A$51,"&gt;="&amp;DATE(2026,1,1),Transactions!$A$2:$A$51,"&lt;="&amp;DATE(2026,1,31))</f>
        <v>145.3</v>
      </c>
      <c r="C3" s="12" t="n">
        <f aca="false">-SUMIFS(Transactions!$F$2:$F$51,Transactions!$D$2:$D$51,$A3,Transactions!$C$2:$C$51,"Expense",Transactions!$A$2:$A$51,"&gt;="&amp;DATE(2026,2,1),Transactions!$A$2:$A$51,"&lt;="&amp;DATE(2026,2,28))</f>
        <v>71.2</v>
      </c>
    </row>
    <row r="4" customFormat="false" ht="15" hidden="false" customHeight="false" outlineLevel="0" collapsed="false">
      <c r="A4" s="8" t="s">
        <v>50</v>
      </c>
      <c r="B4" s="12" t="n">
        <f aca="false">-SUMIFS(Transactions!$F$2:$F$51,Transactions!$D$2:$D$51,$A4,Transactions!$C$2:$C$51,"Expense",Transactions!$A$2:$A$51,"&gt;="&amp;DATE(2026,1,1),Transactions!$A$2:$A$51,"&lt;="&amp;DATE(2026,1,31))</f>
        <v>49</v>
      </c>
      <c r="C4" s="12" t="n">
        <f aca="false">-SUMIFS(Transactions!$F$2:$F$51,Transactions!$D$2:$D$51,$A4,Transactions!$C$2:$C$51,"Expense",Transactions!$A$2:$A$51,"&gt;="&amp;DATE(2026,2,1),Transactions!$A$2:$A$51,"&lt;="&amp;DATE(2026,2,28))</f>
        <v>40</v>
      </c>
    </row>
    <row r="5" customFormat="false" ht="15" hidden="false" customHeight="false" outlineLevel="0" collapsed="false">
      <c r="A5" s="8" t="s">
        <v>38</v>
      </c>
      <c r="B5" s="12" t="n">
        <f aca="false">-SUMIFS(Transactions!$F$2:$F$51,Transactions!$D$2:$D$51,$A5,Transactions!$C$2:$C$51,"Expense",Transactions!$A$2:$A$51,"&gt;="&amp;DATE(2026,1,1),Transactions!$A$2:$A$51,"&lt;="&amp;DATE(2026,1,31))</f>
        <v>1650</v>
      </c>
      <c r="C5" s="12" t="n">
        <f aca="false">-SUMIFS(Transactions!$F$2:$F$51,Transactions!$D$2:$D$51,$A5,Transactions!$C$2:$C$51,"Expense",Transactions!$A$2:$A$51,"&gt;="&amp;DATE(2026,2,1),Transactions!$A$2:$A$51,"&lt;="&amp;DATE(2026,2,28))</f>
        <v>1650</v>
      </c>
    </row>
    <row r="6" customFormat="false" ht="15" hidden="false" customHeight="false" outlineLevel="0" collapsed="false">
      <c r="A6" s="8" t="s">
        <v>68</v>
      </c>
      <c r="B6" s="12" t="n">
        <f aca="false">-SUMIFS(Transactions!$F$2:$F$51,Transactions!$D$2:$D$51,$A6,Transactions!$C$2:$C$51,"Expense",Transactions!$A$2:$A$51,"&gt;="&amp;DATE(2026,1,1),Transactions!$A$2:$A$51,"&lt;="&amp;DATE(2026,1,31))</f>
        <v>400</v>
      </c>
      <c r="C6" s="12" t="n">
        <f aca="false">-SUMIFS(Transactions!$F$2:$F$51,Transactions!$D$2:$D$51,$A6,Transactions!$C$2:$C$51,"Expense",Transactions!$A$2:$A$51,"&gt;="&amp;DATE(2026,2,1),Transactions!$A$2:$A$51,"&lt;="&amp;DATE(2026,2,28))</f>
        <v>400</v>
      </c>
    </row>
    <row r="7" customFormat="false" ht="15" hidden="false" customHeight="false" outlineLevel="0" collapsed="false">
      <c r="A7" s="8" t="s">
        <v>54</v>
      </c>
      <c r="B7" s="12" t="n">
        <f aca="false">-SUMIFS(Transactions!$F$2:$F$51,Transactions!$D$2:$D$51,$A7,Transactions!$C$2:$C$51,"Expense",Transactions!$A$2:$A$51,"&gt;="&amp;DATE(2026,1,1),Transactions!$A$2:$A$51,"&lt;="&amp;DATE(2026,1,31))</f>
        <v>62.1</v>
      </c>
      <c r="C7" s="12" t="n">
        <f aca="false">-SUMIFS(Transactions!$F$2:$F$51,Transactions!$D$2:$D$51,$A7,Transactions!$C$2:$C$51,"Expense",Transactions!$A$2:$A$51,"&gt;="&amp;DATE(2026,2,1),Transactions!$A$2:$A$51,"&lt;="&amp;DATE(2026,2,28))</f>
        <v>-0</v>
      </c>
    </row>
    <row r="8" customFormat="false" ht="15" hidden="false" customHeight="false" outlineLevel="0" collapsed="false">
      <c r="A8" s="8" t="s">
        <v>46</v>
      </c>
      <c r="B8" s="12" t="n">
        <f aca="false">-SUMIFS(Transactions!$F$2:$F$51,Transactions!$D$2:$D$51,$A8,Transactions!$C$2:$C$51,"Expense",Transactions!$A$2:$A$51,"&gt;="&amp;DATE(2026,1,1),Transactions!$A$2:$A$51,"&lt;="&amp;DATE(2026,1,31))</f>
        <v>15.49</v>
      </c>
      <c r="C8" s="12" t="n">
        <f aca="false">-SUMIFS(Transactions!$F$2:$F$51,Transactions!$D$2:$D$51,$A8,Transactions!$C$2:$C$51,"Expense",Transactions!$A$2:$A$51,"&gt;="&amp;DATE(2026,2,1),Transactions!$A$2:$A$51,"&lt;="&amp;DATE(2026,2,28))</f>
        <v>11.99</v>
      </c>
    </row>
    <row r="9" customFormat="false" ht="15" hidden="false" customHeight="false" outlineLevel="0" collapsed="false">
      <c r="A9" s="8" t="s">
        <v>31</v>
      </c>
      <c r="B9" s="12" t="n">
        <f aca="false">-SUMIFS(Transactions!$F$2:$F$51,Transactions!$D$2:$D$51,$A9,Transactions!$C$2:$C$51,"Expense",Transactions!$A$2:$A$51,"&gt;="&amp;DATE(2026,1,1),Transactions!$A$2:$A$51,"&lt;="&amp;DATE(2026,1,31))</f>
        <v>34.2</v>
      </c>
      <c r="C9" s="12" t="n">
        <f aca="false">-SUMIFS(Transactions!$F$2:$F$51,Transactions!$D$2:$D$51,$A9,Transactions!$C$2:$C$51,"Expense",Transactions!$A$2:$A$51,"&gt;="&amp;DATE(2026,2,1),Transactions!$A$2:$A$51,"&lt;="&amp;DATE(2026,2,28))</f>
        <v>18.5</v>
      </c>
    </row>
    <row r="10" customFormat="false" ht="15" hidden="false" customHeight="false" outlineLevel="0" collapsed="false">
      <c r="A10" s="8" t="s">
        <v>58</v>
      </c>
      <c r="B10" s="12" t="n">
        <f aca="false">-SUMIFS(Transactions!$F$2:$F$51,Transactions!$D$2:$D$51,$A10,Transactions!$C$2:$C$51,"Expense",Transactions!$A$2:$A$51,"&gt;="&amp;DATE(2026,1,1),Transactions!$A$2:$A$51,"&lt;="&amp;DATE(2026,1,31))</f>
        <v>-0</v>
      </c>
      <c r="C10" s="12" t="n">
        <f aca="false">-SUMIFS(Transactions!$F$2:$F$51,Transactions!$D$2:$D$51,$A10,Transactions!$C$2:$C$51,"Expense",Transactions!$A$2:$A$51,"&gt;="&amp;DATE(2026,2,1),Transactions!$A$2:$A$51,"&lt;="&amp;DATE(2026,2,28))</f>
        <v>-0</v>
      </c>
    </row>
    <row r="11" customFormat="false" ht="15" hidden="false" customHeight="false" outlineLevel="0" collapsed="false">
      <c r="A11" s="8" t="s">
        <v>41</v>
      </c>
      <c r="B11" s="12" t="n">
        <f aca="false">-SUMIFS(Transactions!$F$2:$F$51,Transactions!$D$2:$D$51,$A11,Transactions!$C$2:$C$51,"Expense",Transactions!$A$2:$A$51,"&gt;="&amp;DATE(2026,1,1),Transactions!$A$2:$A$51,"&lt;="&amp;DATE(2026,1,31))</f>
        <v>74.3</v>
      </c>
      <c r="C11" s="12" t="n">
        <f aca="false">-SUMIFS(Transactions!$F$2:$F$51,Transactions!$D$2:$D$51,$A11,Transactions!$C$2:$C$51,"Expense",Transactions!$A$2:$A$51,"&gt;="&amp;DATE(2026,2,1),Transactions!$A$2:$A$51,"&lt;="&amp;DATE(2026,2,28))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3" t="s">
        <v>94</v>
      </c>
      <c r="B1" s="13" t="s">
        <v>95</v>
      </c>
      <c r="C1" s="13" t="s">
        <v>96</v>
      </c>
      <c r="D1" s="13" t="s">
        <v>97</v>
      </c>
      <c r="E1" s="13" t="s">
        <v>98</v>
      </c>
      <c r="F1" s="13" t="s">
        <v>99</v>
      </c>
      <c r="H1" s="14" t="s">
        <v>100</v>
      </c>
      <c r="I1" s="14" t="s">
        <v>101</v>
      </c>
    </row>
    <row r="2" customFormat="false" ht="15" hidden="false" customHeight="false" outlineLevel="0" collapsed="false">
      <c r="B2" s="15" t="n">
        <f aca="false">SUMIFS(Transactions!$F$2:$F$51,Transactions!$A$2:$A$51,"&gt;="&amp;H2,Transactions!$A$2:$A$51,"&lt;="&amp;I2,Transactions!$C$2:$C$51,"Income")</f>
        <v>5000</v>
      </c>
      <c r="C2" s="15" t="n">
        <f aca="false">-SUMIFS(Transactions!$F$2:$F$51,Transactions!$A$2:$A$51,"&gt;="&amp;H2,Transactions!$A$2:$A$51,"&lt;="&amp;I2,Transactions!$C$2:$C$51,"Expense")</f>
        <v>2437.14</v>
      </c>
      <c r="D2" s="15" t="n">
        <f aca="false">B2-C2</f>
        <v>2562.86</v>
      </c>
      <c r="E2" s="16" t="n">
        <f aca="false">IF(B2=0,"",D2/B2)</f>
        <v>0.512572</v>
      </c>
      <c r="F2" s="0" t="str">
        <f aca="false">IFERROR(INDEX('Category Breakdown'!$A$2:$A$11,MATCH(MAX('Category Breakdown'!$B$2:$B$11),'Category Breakdown'!$B$2:$B$11,0)),"-")</f>
        <v>Housing</v>
      </c>
      <c r="H2" s="17" t="n">
        <v>46023</v>
      </c>
      <c r="I2" s="17" t="n">
        <v>46053</v>
      </c>
    </row>
    <row r="3" customFormat="false" ht="15" hidden="false" customHeight="false" outlineLevel="0" collapsed="false">
      <c r="B3" s="15" t="n">
        <f aca="false">SUMIFS(Transactions!$F$2:$F$51,Transactions!$A$2:$A$51,"&gt;="&amp;H3,Transactions!$A$2:$A$51,"&lt;="&amp;I3,Transactions!$C$2:$C$51,"Income")</f>
        <v>4212.3</v>
      </c>
      <c r="C3" s="15" t="n">
        <f aca="false">-SUMIFS(Transactions!$F$2:$F$51,Transactions!$A$2:$A$51,"&gt;="&amp;H3,Transactions!$A$2:$A$51,"&lt;="&amp;I3,Transactions!$C$2:$C$51,"Expense")</f>
        <v>2191.69</v>
      </c>
      <c r="D3" s="15" t="n">
        <f aca="false">B3-C3</f>
        <v>2020.61</v>
      </c>
      <c r="E3" s="16" t="n">
        <f aca="false">IF(B3=0,"",D3/B3)</f>
        <v>0.479692804406144</v>
      </c>
      <c r="F3" s="0" t="str">
        <f aca="false">IFERROR(INDEX('Category Breakdown'!$A$2:$A$11,MATCH(MAX('Category Breakdown'!$C$2:$C$11),'Category Breakdown'!$C$2:$C$11,0)),"-")</f>
        <v>Housing</v>
      </c>
      <c r="H3" s="17" t="n">
        <v>46054</v>
      </c>
      <c r="I3" s="17" t="n">
        <v>46081</v>
      </c>
    </row>
  </sheetData>
  <conditionalFormatting sqref="E2:E3">
    <cfRule type="colorScale" priority="2">
      <colorScale>
        <cfvo type="min" val="0"/>
        <cfvo type="max" val="0"/>
        <color rgb="FFF7C1C1"/>
        <color rgb="FFC0DD9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0"/>
    <col collapsed="false" customWidth="true" hidden="false" outlineLevel="0" max="8" min="6" style="0" width="4"/>
  </cols>
  <sheetData>
    <row r="2" customFormat="false" ht="31.5" hidden="false" customHeight="true" outlineLevel="0" collapsed="false">
      <c r="B2" s="18" t="s">
        <v>102</v>
      </c>
      <c r="C2" s="18"/>
      <c r="D2" s="18"/>
      <c r="E2" s="18"/>
    </row>
    <row r="3" customFormat="false" ht="15" hidden="false" customHeight="false" outlineLevel="0" collapsed="false">
      <c r="B3" s="19" t="s">
        <v>103</v>
      </c>
      <c r="C3" s="19"/>
      <c r="D3" s="19"/>
      <c r="E3" s="19"/>
    </row>
    <row r="5" customFormat="false" ht="19.5" hidden="false" customHeight="true" outlineLevel="0" collapsed="false">
      <c r="B5" s="20" t="s">
        <v>104</v>
      </c>
      <c r="C5" s="20" t="s">
        <v>105</v>
      </c>
      <c r="D5" s="20" t="s">
        <v>106</v>
      </c>
      <c r="E5" s="20" t="s">
        <v>107</v>
      </c>
    </row>
    <row r="6" customFormat="false" ht="30" hidden="false" customHeight="true" outlineLevel="0" collapsed="false">
      <c r="B6" s="21" t="n">
        <f aca="false">SUM('Monthly Summary'!B2:B3)</f>
        <v>9212.3</v>
      </c>
      <c r="C6" s="21" t="n">
        <f aca="false">SUM('Monthly Summary'!C2:C3)</f>
        <v>4628.83</v>
      </c>
      <c r="D6" s="21" t="n">
        <f aca="false">SUM('Monthly Summary'!D2:D3)</f>
        <v>4583.47</v>
      </c>
      <c r="E6" s="22" t="n">
        <f aca="false">AVERAGE('Monthly Summary'!E2:E3)</f>
        <v>0.496132402203072</v>
      </c>
    </row>
    <row r="26" customFormat="false" ht="16.15" hidden="false" customHeight="false" outlineLevel="0" collapsed="false">
      <c r="B26" s="23" t="s">
        <v>108</v>
      </c>
    </row>
    <row r="27" customFormat="false" ht="15" hidden="false" customHeight="false" outlineLevel="0" collapsed="false">
      <c r="B27" s="11" t="s">
        <v>17</v>
      </c>
      <c r="C27" s="11" t="s">
        <v>109</v>
      </c>
    </row>
    <row r="28" customFormat="false" ht="15" hidden="false" customHeight="false" outlineLevel="0" collapsed="false">
      <c r="B28" s="8" t="s">
        <v>19</v>
      </c>
      <c r="C28" s="12" t="n">
        <f aca="false">-SUMIFS(Transactions!$F$2:$F$51,Transactions!$D$2:$D$51,B28,Transactions!$C$2:$C$51,"Expense")</f>
        <v>6.75</v>
      </c>
    </row>
    <row r="29" customFormat="false" ht="15" hidden="false" customHeight="false" outlineLevel="0" collapsed="false">
      <c r="B29" s="8" t="s">
        <v>26</v>
      </c>
      <c r="C29" s="12" t="n">
        <f aca="false">-SUMIFS(Transactions!$F$2:$F$51,Transactions!$D$2:$D$51,B29,Transactions!$C$2:$C$51,"Expense")</f>
        <v>216.5</v>
      </c>
    </row>
    <row r="30" customFormat="false" ht="15" hidden="false" customHeight="false" outlineLevel="0" collapsed="false">
      <c r="B30" s="8" t="s">
        <v>50</v>
      </c>
      <c r="C30" s="12" t="n">
        <f aca="false">-SUMIFS(Transactions!$F$2:$F$51,Transactions!$D$2:$D$51,B30,Transactions!$C$2:$C$51,"Expense")</f>
        <v>89</v>
      </c>
    </row>
    <row r="31" customFormat="false" ht="15" hidden="false" customHeight="false" outlineLevel="0" collapsed="false">
      <c r="B31" s="8" t="s">
        <v>38</v>
      </c>
      <c r="C31" s="12" t="n">
        <f aca="false">-SUMIFS(Transactions!$F$2:$F$51,Transactions!$D$2:$D$51,B31,Transactions!$C$2:$C$51,"Expense")</f>
        <v>3300</v>
      </c>
    </row>
    <row r="32" customFormat="false" ht="15" hidden="false" customHeight="false" outlineLevel="0" collapsed="false">
      <c r="B32" s="8" t="s">
        <v>68</v>
      </c>
      <c r="C32" s="12" t="n">
        <f aca="false">-SUMIFS(Transactions!$F$2:$F$51,Transactions!$D$2:$D$51,B32,Transactions!$C$2:$C$51,"Expense")</f>
        <v>800</v>
      </c>
    </row>
    <row r="33" customFormat="false" ht="15" hidden="false" customHeight="false" outlineLevel="0" collapsed="false">
      <c r="B33" s="8" t="s">
        <v>54</v>
      </c>
      <c r="C33" s="12" t="n">
        <f aca="false">-SUMIFS(Transactions!$F$2:$F$51,Transactions!$D$2:$D$51,B33,Transactions!$C$2:$C$51,"Expense")</f>
        <v>62.1</v>
      </c>
    </row>
    <row r="34" customFormat="false" ht="15" hidden="false" customHeight="false" outlineLevel="0" collapsed="false">
      <c r="B34" s="8" t="s">
        <v>46</v>
      </c>
      <c r="C34" s="12" t="n">
        <f aca="false">-SUMIFS(Transactions!$F$2:$F$51,Transactions!$D$2:$D$51,B34,Transactions!$C$2:$C$51,"Expense")</f>
        <v>27.48</v>
      </c>
    </row>
    <row r="35" customFormat="false" ht="15" hidden="false" customHeight="false" outlineLevel="0" collapsed="false">
      <c r="B35" s="8" t="s">
        <v>31</v>
      </c>
      <c r="C35" s="12" t="n">
        <f aca="false">-SUMIFS(Transactions!$F$2:$F$51,Transactions!$D$2:$D$51,B35,Transactions!$C$2:$C$51,"Expense")</f>
        <v>52.7</v>
      </c>
    </row>
    <row r="36" customFormat="false" ht="15" hidden="false" customHeight="false" outlineLevel="0" collapsed="false">
      <c r="B36" s="8" t="s">
        <v>58</v>
      </c>
      <c r="C36" s="12" t="n">
        <f aca="false">-SUMIFS(Transactions!$F$2:$F$51,Transactions!$D$2:$D$51,B36,Transactions!$C$2:$C$51,"Expense")</f>
        <v>-0</v>
      </c>
    </row>
    <row r="37" customFormat="false" ht="15" hidden="false" customHeight="false" outlineLevel="0" collapsed="false">
      <c r="B37" s="8" t="s">
        <v>41</v>
      </c>
      <c r="C37" s="12" t="n">
        <f aca="false">-SUMIFS(Transactions!$F$2:$F$51,Transactions!$D$2:$D$51,B37,Transactions!$C$2:$C$51,"Expense")</f>
        <v>74.3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2026-07-10T07:17:39Z</dcterms:created>
  <dc:creator>openpyxl</dc:creator>
  <dc:description/>
  <dc:language>en-US</dc:language>
  <cp:lastModifiedBy/>
  <dcterms:modified xsi:type="dcterms:W3CDTF">2026-07-10T13:02:40Z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